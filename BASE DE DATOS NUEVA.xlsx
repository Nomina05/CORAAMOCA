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CORAAMOCA\"/>
    </mc:Choice>
  </mc:AlternateContent>
  <xr:revisionPtr revIDLastSave="0" documentId="13_ncr:1_{5D7DE99E-ECA6-4DE8-9B94-13E90BB8FF2F}" xr6:coauthVersionLast="47" xr6:coauthVersionMax="47" xr10:uidLastSave="{00000000-0000-0000-0000-000000000000}"/>
  <bookViews>
    <workbookView xWindow="-108" yWindow="-108" windowWidth="23256" windowHeight="12576" xr2:uid="{8A5D71BC-3983-4B5E-8D6C-3FEF036CE6BC}"/>
  </bookViews>
  <sheets>
    <sheet name="Hoja1" sheetId="1" r:id="rId1"/>
  </sheets>
  <definedNames>
    <definedName name="_xlnm._FilterDatabase" localSheetId="0" hidden="1">Hoja1!$A$1:$X$134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V3" i="1" s="1"/>
  <c r="X3" i="1" s="1"/>
  <c r="U4" i="1"/>
  <c r="V4" i="1" s="1"/>
  <c r="X4" i="1" s="1"/>
  <c r="U5" i="1"/>
  <c r="U6" i="1"/>
  <c r="V6" i="1" s="1"/>
  <c r="X6" i="1" s="1"/>
  <c r="U7" i="1"/>
  <c r="U8" i="1"/>
  <c r="V8" i="1" s="1"/>
  <c r="X8" i="1" s="1"/>
  <c r="U9" i="1"/>
  <c r="U10" i="1"/>
  <c r="U11" i="1"/>
  <c r="V11" i="1" s="1"/>
  <c r="X11" i="1" s="1"/>
  <c r="U12" i="1"/>
  <c r="V12" i="1" s="1"/>
  <c r="X12" i="1" s="1"/>
  <c r="U13" i="1"/>
  <c r="V13" i="1" s="1"/>
  <c r="X13" i="1" s="1"/>
  <c r="U14" i="1"/>
  <c r="V14" i="1" s="1"/>
  <c r="X14" i="1" s="1"/>
  <c r="U15" i="1"/>
  <c r="U16" i="1"/>
  <c r="V16" i="1" s="1"/>
  <c r="X16" i="1" s="1"/>
  <c r="U17" i="1"/>
  <c r="U18" i="1"/>
  <c r="U19" i="1"/>
  <c r="U20" i="1"/>
  <c r="V20" i="1" s="1"/>
  <c r="X20" i="1" s="1"/>
  <c r="U21" i="1"/>
  <c r="U22" i="1"/>
  <c r="U23" i="1"/>
  <c r="V23" i="1" s="1"/>
  <c r="X23" i="1" s="1"/>
  <c r="U24" i="1"/>
  <c r="V24" i="1" s="1"/>
  <c r="X24" i="1" s="1"/>
  <c r="U25" i="1"/>
  <c r="V25" i="1" s="1"/>
  <c r="X25" i="1" s="1"/>
  <c r="U26" i="1"/>
  <c r="V26" i="1" s="1"/>
  <c r="X26" i="1" s="1"/>
  <c r="U27" i="1"/>
  <c r="U28" i="1"/>
  <c r="V28" i="1" s="1"/>
  <c r="X28" i="1" s="1"/>
  <c r="U29" i="1"/>
  <c r="U30" i="1"/>
  <c r="U31" i="1"/>
  <c r="U32" i="1"/>
  <c r="V32" i="1" s="1"/>
  <c r="X32" i="1" s="1"/>
  <c r="U33" i="1"/>
  <c r="U34" i="1"/>
  <c r="U35" i="1"/>
  <c r="V35" i="1" s="1"/>
  <c r="X35" i="1" s="1"/>
  <c r="U36" i="1"/>
  <c r="V36" i="1" s="1"/>
  <c r="X36" i="1" s="1"/>
  <c r="U37" i="1"/>
  <c r="V37" i="1" s="1"/>
  <c r="X37" i="1" s="1"/>
  <c r="U38" i="1"/>
  <c r="V38" i="1" s="1"/>
  <c r="X38" i="1" s="1"/>
  <c r="U39" i="1"/>
  <c r="U40" i="1"/>
  <c r="V40" i="1" s="1"/>
  <c r="X40" i="1" s="1"/>
  <c r="U41" i="1"/>
  <c r="U42" i="1"/>
  <c r="U43" i="1"/>
  <c r="U44" i="1"/>
  <c r="V44" i="1" s="1"/>
  <c r="X44" i="1" s="1"/>
  <c r="U45" i="1"/>
  <c r="U46" i="1"/>
  <c r="U47" i="1"/>
  <c r="V47" i="1" s="1"/>
  <c r="X47" i="1" s="1"/>
  <c r="U48" i="1"/>
  <c r="U49" i="1"/>
  <c r="U50" i="1"/>
  <c r="U51" i="1"/>
  <c r="V51" i="1" s="1"/>
  <c r="X51" i="1" s="1"/>
  <c r="U52" i="1"/>
  <c r="V52" i="1" s="1"/>
  <c r="X52" i="1" s="1"/>
  <c r="U53" i="1"/>
  <c r="U54" i="1"/>
  <c r="U55" i="1"/>
  <c r="U56" i="1"/>
  <c r="V56" i="1" s="1"/>
  <c r="X56" i="1" s="1"/>
  <c r="U57" i="1"/>
  <c r="U58" i="1"/>
  <c r="U59" i="1"/>
  <c r="V59" i="1" s="1"/>
  <c r="X59" i="1" s="1"/>
  <c r="U60" i="1"/>
  <c r="V60" i="1" s="1"/>
  <c r="X60" i="1" s="1"/>
  <c r="U61" i="1"/>
  <c r="V61" i="1" s="1"/>
  <c r="X61" i="1" s="1"/>
  <c r="U62" i="1"/>
  <c r="V62" i="1" s="1"/>
  <c r="X62" i="1" s="1"/>
  <c r="U63" i="1"/>
  <c r="V63" i="1" s="1"/>
  <c r="X63" i="1" s="1"/>
  <c r="U64" i="1"/>
  <c r="V64" i="1" s="1"/>
  <c r="X64" i="1" s="1"/>
  <c r="U65" i="1"/>
  <c r="U66" i="1"/>
  <c r="U67" i="1"/>
  <c r="U68" i="1"/>
  <c r="V68" i="1" s="1"/>
  <c r="X68" i="1" s="1"/>
  <c r="U69" i="1"/>
  <c r="U70" i="1"/>
  <c r="U71" i="1"/>
  <c r="V71" i="1" s="1"/>
  <c r="X71" i="1" s="1"/>
  <c r="U72" i="1"/>
  <c r="V72" i="1" s="1"/>
  <c r="X72" i="1" s="1"/>
  <c r="U73" i="1"/>
  <c r="V73" i="1" s="1"/>
  <c r="X73" i="1" s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V95" i="1" s="1"/>
  <c r="X95" i="1" s="1"/>
  <c r="U96" i="1"/>
  <c r="V96" i="1" s="1"/>
  <c r="X96" i="1" s="1"/>
  <c r="U97" i="1"/>
  <c r="V97" i="1" s="1"/>
  <c r="X97" i="1" s="1"/>
  <c r="U98" i="1"/>
  <c r="V98" i="1" s="1"/>
  <c r="X98" i="1" s="1"/>
  <c r="U99" i="1"/>
  <c r="V99" i="1" s="1"/>
  <c r="U100" i="1"/>
  <c r="V100" i="1" s="1"/>
  <c r="U101" i="1"/>
  <c r="U102" i="1"/>
  <c r="V102" i="1" s="1"/>
  <c r="U103" i="1"/>
  <c r="U104" i="1"/>
  <c r="V104" i="1" s="1"/>
  <c r="X104" i="1" s="1"/>
  <c r="U105" i="1"/>
  <c r="U106" i="1"/>
  <c r="U107" i="1"/>
  <c r="V107" i="1" s="1"/>
  <c r="U108" i="1"/>
  <c r="V108" i="1" s="1"/>
  <c r="U109" i="1"/>
  <c r="V109" i="1" s="1"/>
  <c r="U110" i="1"/>
  <c r="V110" i="1" s="1"/>
  <c r="X110" i="1" s="1"/>
  <c r="V5" i="1"/>
  <c r="X5" i="1" s="1"/>
  <c r="V7" i="1"/>
  <c r="X7" i="1" s="1"/>
  <c r="V9" i="1"/>
  <c r="X9" i="1" s="1"/>
  <c r="V10" i="1"/>
  <c r="X10" i="1" s="1"/>
  <c r="V15" i="1"/>
  <c r="X15" i="1" s="1"/>
  <c r="V17" i="1"/>
  <c r="X17" i="1" s="1"/>
  <c r="V18" i="1"/>
  <c r="X18" i="1" s="1"/>
  <c r="V19" i="1"/>
  <c r="X19" i="1" s="1"/>
  <c r="V21" i="1"/>
  <c r="X21" i="1" s="1"/>
  <c r="V22" i="1"/>
  <c r="X22" i="1" s="1"/>
  <c r="V27" i="1"/>
  <c r="X27" i="1" s="1"/>
  <c r="V29" i="1"/>
  <c r="X29" i="1" s="1"/>
  <c r="V30" i="1"/>
  <c r="X30" i="1" s="1"/>
  <c r="V31" i="1"/>
  <c r="X31" i="1" s="1"/>
  <c r="V33" i="1"/>
  <c r="X33" i="1" s="1"/>
  <c r="V34" i="1"/>
  <c r="X34" i="1" s="1"/>
  <c r="V39" i="1"/>
  <c r="X39" i="1" s="1"/>
  <c r="V41" i="1"/>
  <c r="X41" i="1" s="1"/>
  <c r="V42" i="1"/>
  <c r="X42" i="1" s="1"/>
  <c r="V43" i="1"/>
  <c r="X43" i="1" s="1"/>
  <c r="V45" i="1"/>
  <c r="X45" i="1" s="1"/>
  <c r="V46" i="1"/>
  <c r="X46" i="1" s="1"/>
  <c r="V53" i="1"/>
  <c r="X53" i="1" s="1"/>
  <c r="V54" i="1"/>
  <c r="X54" i="1" s="1"/>
  <c r="V55" i="1"/>
  <c r="X55" i="1" s="1"/>
  <c r="V57" i="1"/>
  <c r="X57" i="1" s="1"/>
  <c r="V58" i="1"/>
  <c r="X58" i="1" s="1"/>
  <c r="V65" i="1"/>
  <c r="X65" i="1" s="1"/>
  <c r="V66" i="1"/>
  <c r="X66" i="1" s="1"/>
  <c r="V67" i="1"/>
  <c r="X67" i="1" s="1"/>
  <c r="V69" i="1"/>
  <c r="X69" i="1" s="1"/>
  <c r="V70" i="1"/>
  <c r="X70" i="1" s="1"/>
  <c r="V93" i="1"/>
  <c r="X93" i="1" s="1"/>
  <c r="V94" i="1"/>
  <c r="X94" i="1" s="1"/>
  <c r="V101" i="1"/>
  <c r="V103" i="1"/>
  <c r="V105" i="1"/>
  <c r="V106" i="1"/>
  <c r="U2" i="1"/>
  <c r="V2" i="1" s="1"/>
  <c r="X2" i="1" s="1"/>
  <c r="T111" i="1"/>
  <c r="S111" i="1"/>
  <c r="Q111" i="1"/>
  <c r="P111" i="1"/>
  <c r="O111" i="1"/>
  <c r="R92" i="1"/>
  <c r="R91" i="1"/>
  <c r="V91" i="1" s="1"/>
  <c r="X91" i="1" s="1"/>
  <c r="R90" i="1"/>
  <c r="R89" i="1"/>
  <c r="V89" i="1" s="1"/>
  <c r="X89" i="1" s="1"/>
  <c r="R88" i="1"/>
  <c r="R87" i="1"/>
  <c r="R86" i="1"/>
  <c r="R85" i="1"/>
  <c r="R84" i="1"/>
  <c r="R83" i="1"/>
  <c r="R82" i="1"/>
  <c r="V82" i="1" s="1"/>
  <c r="X82" i="1" s="1"/>
  <c r="R81" i="1"/>
  <c r="V81" i="1" s="1"/>
  <c r="X81" i="1" s="1"/>
  <c r="R80" i="1"/>
  <c r="R79" i="1"/>
  <c r="V79" i="1" s="1"/>
  <c r="X79" i="1" s="1"/>
  <c r="R78" i="1"/>
  <c r="R77" i="1"/>
  <c r="V77" i="1" s="1"/>
  <c r="X77" i="1" s="1"/>
  <c r="R76" i="1"/>
  <c r="R75" i="1"/>
  <c r="R74" i="1"/>
  <c r="R50" i="1"/>
  <c r="R49" i="1"/>
  <c r="R48" i="1"/>
  <c r="V48" i="1" l="1"/>
  <c r="X48" i="1" s="1"/>
  <c r="V84" i="1"/>
  <c r="X84" i="1" s="1"/>
  <c r="V83" i="1"/>
  <c r="X83" i="1" s="1"/>
  <c r="V49" i="1"/>
  <c r="X49" i="1" s="1"/>
  <c r="V50" i="1"/>
  <c r="X50" i="1" s="1"/>
  <c r="V74" i="1"/>
  <c r="X74" i="1" s="1"/>
  <c r="V86" i="1"/>
  <c r="X86" i="1" s="1"/>
  <c r="V85" i="1"/>
  <c r="X85" i="1" s="1"/>
  <c r="V75" i="1"/>
  <c r="X75" i="1" s="1"/>
  <c r="V87" i="1"/>
  <c r="X87" i="1" s="1"/>
  <c r="V76" i="1"/>
  <c r="X76" i="1" s="1"/>
  <c r="V88" i="1"/>
  <c r="X88" i="1" s="1"/>
  <c r="V78" i="1"/>
  <c r="X78" i="1" s="1"/>
  <c r="V90" i="1"/>
  <c r="X90" i="1" s="1"/>
  <c r="V80" i="1"/>
  <c r="X80" i="1" s="1"/>
  <c r="V92" i="1"/>
  <c r="X92" i="1" s="1"/>
  <c r="R111" i="1"/>
  <c r="U111" i="1"/>
  <c r="V111" i="1" l="1"/>
</calcChain>
</file>

<file path=xl/sharedStrings.xml><?xml version="1.0" encoding="utf-8"?>
<sst xmlns="http://schemas.openxmlformats.org/spreadsheetml/2006/main" count="796" uniqueCount="187">
  <si>
    <t>Cuenta Presupuestaria</t>
  </si>
  <si>
    <t>Proceso de Compras</t>
  </si>
  <si>
    <t>Año de realización de Proyecto</t>
  </si>
  <si>
    <t>Proveedor</t>
  </si>
  <si>
    <t>SNIP</t>
  </si>
  <si>
    <t>LOTE</t>
  </si>
  <si>
    <t>NO. LOTE</t>
  </si>
  <si>
    <t>Obra</t>
  </si>
  <si>
    <t>Municipio</t>
  </si>
  <si>
    <t>Distrito</t>
  </si>
  <si>
    <t>Sector</t>
  </si>
  <si>
    <t>Avance 20%</t>
  </si>
  <si>
    <t>Total Cubicado</t>
  </si>
  <si>
    <t>TOTAL PAGADO</t>
  </si>
  <si>
    <t>Estatus</t>
  </si>
  <si>
    <t>Avance de Obra</t>
  </si>
  <si>
    <t>2.6.5.4.02</t>
  </si>
  <si>
    <t>CORAAMOCA-DAF-CM-2026-0018</t>
  </si>
  <si>
    <t>ACTUALIDADES VD, S.RL.</t>
  </si>
  <si>
    <t>Equipos de climatización</t>
  </si>
  <si>
    <t>Moca</t>
  </si>
  <si>
    <t>En Proceso de pago</t>
  </si>
  <si>
    <t>CORAAMOCA-CCC-CP-2025-0002</t>
  </si>
  <si>
    <t>BENESTA CONSTRUCTORA, S.R.L</t>
  </si>
  <si>
    <t>C</t>
  </si>
  <si>
    <t>Ampliación de Redes</t>
  </si>
  <si>
    <t>Gaspar Hernandez</t>
  </si>
  <si>
    <t>Villa Magante</t>
  </si>
  <si>
    <t>Entrada Malen</t>
  </si>
  <si>
    <t>Adjudicado</t>
  </si>
  <si>
    <t>Rincón de Genaro</t>
  </si>
  <si>
    <t>CONSTRUCTORA CAMILO PANTALEON (CCP), S.R.L</t>
  </si>
  <si>
    <t>Los Cocos Llenas</t>
  </si>
  <si>
    <t>En Ejecucion</t>
  </si>
  <si>
    <t>Los Hernández - La Rosario</t>
  </si>
  <si>
    <t>Quebrada Honda - Lotificación Pilo Santana</t>
  </si>
  <si>
    <t xml:space="preserve">Quebrada Honda- Entrada de La Chicha </t>
  </si>
  <si>
    <t>Quebrada Honda -Entrada de la escuelita, C/Mora</t>
  </si>
  <si>
    <t>Villa Delia</t>
  </si>
  <si>
    <t>Entrada  Sixto García - La Soledad</t>
  </si>
  <si>
    <t>Cacique  Abajo- La Antena</t>
  </si>
  <si>
    <t>La Ermita B/Eduardo Brito</t>
  </si>
  <si>
    <t>El Corozo - Entrada Raulito</t>
  </si>
  <si>
    <t>El Jazmín - Cruce del Algarrobo</t>
  </si>
  <si>
    <t>Quebrada La Yagua - El Algarrobo</t>
  </si>
  <si>
    <t>Entrada de la Iglesia y los Cacos, B/Pulu- La Rosario</t>
  </si>
  <si>
    <t>Estancia Nueva - Los Reinoso</t>
  </si>
  <si>
    <t>El Fundo San Francisco abajo</t>
  </si>
  <si>
    <t>Cayetano Germosen</t>
  </si>
  <si>
    <t>La Gallera - Guanábano</t>
  </si>
  <si>
    <t>Villa Progreso</t>
  </si>
  <si>
    <t>Sabana De Los Jiménez</t>
  </si>
  <si>
    <t xml:space="preserve">Calle Del Rio </t>
  </si>
  <si>
    <t>La Penda</t>
  </si>
  <si>
    <t>Barrio nuevo La Guama</t>
  </si>
  <si>
    <t>CORAAMOCA-CCC-CP-2025-0005</t>
  </si>
  <si>
    <t>Cruce de La Guama</t>
  </si>
  <si>
    <t>Urbanización La Guama  (entrada del Play)</t>
  </si>
  <si>
    <t>Entrada la Iglesia - Hato Viejo</t>
  </si>
  <si>
    <t>Barrio Marien - Guanábano</t>
  </si>
  <si>
    <t>San Victor</t>
  </si>
  <si>
    <t>Ceiba de Madera (El Mango de Nena 1)</t>
  </si>
  <si>
    <t>Ceiba de Madera (El Mango de Nena 2)</t>
  </si>
  <si>
    <t>La Amapola - Entrada María Arroyo</t>
  </si>
  <si>
    <t>Entrada Arte de Jesús</t>
  </si>
  <si>
    <t>Entrada del  Club del los  Choferes</t>
  </si>
  <si>
    <t>Entrada los  Chivos - San Víctor</t>
  </si>
  <si>
    <t>Quebrada Honda - Entrada de Willy</t>
  </si>
  <si>
    <t>La Ermita - Entrada Surtidora Santana</t>
  </si>
  <si>
    <t>Las Lagunas</t>
  </si>
  <si>
    <t>Boca Férrea</t>
  </si>
  <si>
    <t>La Finca</t>
  </si>
  <si>
    <t>La Lomita</t>
  </si>
  <si>
    <t xml:space="preserve">Canta Rana </t>
  </si>
  <si>
    <t>Canca la Reina</t>
  </si>
  <si>
    <t>El aguacate</t>
  </si>
  <si>
    <t>Juan Lopez</t>
  </si>
  <si>
    <t>Entrada Los Julines</t>
  </si>
  <si>
    <t>Entrada Centro Tecnológico</t>
  </si>
  <si>
    <t xml:space="preserve">Entrada  Los Pérez </t>
  </si>
  <si>
    <t>Monte La Jagua</t>
  </si>
  <si>
    <t>Entrada Don Juan</t>
  </si>
  <si>
    <t>Suministro e Instalación de Micro Medidores de Agua Potable en Residenciales e Industrias</t>
  </si>
  <si>
    <t>CORAAMOCA-CCC-CP-2024-0003</t>
  </si>
  <si>
    <t>CONSTRUCTORA CRUZ MUÑOZ</t>
  </si>
  <si>
    <t>A</t>
  </si>
  <si>
    <t>Construcción de Centro de Servicio al Cliente</t>
  </si>
  <si>
    <t>Higuerito</t>
  </si>
  <si>
    <t>B</t>
  </si>
  <si>
    <t>Veragua</t>
  </si>
  <si>
    <t>CORAAMOCA-DAF-CM-2026-0023</t>
  </si>
  <si>
    <t>CONSTRUCTORA GEODRIL S.R.L</t>
  </si>
  <si>
    <t>Construcción de un pozo tubular #1</t>
  </si>
  <si>
    <t>Campo de Pozos</t>
  </si>
  <si>
    <t>Registro de Contrato</t>
  </si>
  <si>
    <t>Construcción de un pozo tubular #2</t>
  </si>
  <si>
    <t>2.6.5.7.01</t>
  </si>
  <si>
    <t>CORAAMOCA-DAF-CM-2026-0014</t>
  </si>
  <si>
    <t>FOREST LAXES, S.R.L</t>
  </si>
  <si>
    <t>Máquinas-herramientas</t>
  </si>
  <si>
    <t>2.6.1.1.01</t>
  </si>
  <si>
    <t>CORAAMOCA-DAF-CM-2026-0022</t>
  </si>
  <si>
    <t>IMPROFICINAS, S.R.L</t>
  </si>
  <si>
    <t>Muebles, equipos de oficina y estantería</t>
  </si>
  <si>
    <t>CORAAMOCA-CCC-CP-2025-0006</t>
  </si>
  <si>
    <t>INGENIERIA Y PERFORACIONES (INPER), S.R.L</t>
  </si>
  <si>
    <t xml:space="preserve">Construcción de un pozo tubular </t>
  </si>
  <si>
    <t>Construcción de un pozo tubular</t>
  </si>
  <si>
    <t>Calle Del Rio</t>
  </si>
  <si>
    <t>Maguey</t>
  </si>
  <si>
    <t>Los Rieles Arriba</t>
  </si>
  <si>
    <t>B/La Lambada</t>
  </si>
  <si>
    <t>Centro Tecnológico</t>
  </si>
  <si>
    <t>Boca Férrea - Entrada La Escuela</t>
  </si>
  <si>
    <t>Cruce La Lomita del Higüero (La Finca)</t>
  </si>
  <si>
    <t>La Finca - Entrada de la Escuela</t>
  </si>
  <si>
    <t>La Chicharra</t>
  </si>
  <si>
    <t>Los Camacho</t>
  </si>
  <si>
    <t>El Higuerito Arriba</t>
  </si>
  <si>
    <t>Jamao Al Norte</t>
  </si>
  <si>
    <t>Los Brazos</t>
  </si>
  <si>
    <t>C/Josefa Rosario</t>
  </si>
  <si>
    <t xml:space="preserve">Los Cocos </t>
  </si>
  <si>
    <t>Caño Dulce</t>
  </si>
  <si>
    <t>Entrada La Escuela</t>
  </si>
  <si>
    <t>Callejón de Sara</t>
  </si>
  <si>
    <t>La Españolita</t>
  </si>
  <si>
    <t>La Mina</t>
  </si>
  <si>
    <t>Campo de Pozos Veragua</t>
  </si>
  <si>
    <t xml:space="preserve">Entrada de Gen </t>
  </si>
  <si>
    <t>Villa Olímpica</t>
  </si>
  <si>
    <t>Villa Valentina</t>
  </si>
  <si>
    <t>Entrada el Correo</t>
  </si>
  <si>
    <t>Las Colinas La Antena</t>
  </si>
  <si>
    <t>Loma Al Medio (Entrada La Cigua)</t>
  </si>
  <si>
    <t>Entrada La Batata</t>
  </si>
  <si>
    <t xml:space="preserve">Pozo Las Colinas (La Antena) </t>
  </si>
  <si>
    <t>Pozo Tanque Entrada Los Mangos</t>
  </si>
  <si>
    <t>Vereda Al Medio</t>
  </si>
  <si>
    <t>Sin Proveedor</t>
  </si>
  <si>
    <t>Los Polanco</t>
  </si>
  <si>
    <t>Entrada Los Guaos</t>
  </si>
  <si>
    <t>Entrada La Yuca</t>
  </si>
  <si>
    <t>San Lorenzo</t>
  </si>
  <si>
    <t>Entrada La Gallera</t>
  </si>
  <si>
    <t>Entrada Playa Rogelio</t>
  </si>
  <si>
    <t>2.6.4.1.01</t>
  </si>
  <si>
    <t>Automóviles y camiones - Minivan</t>
  </si>
  <si>
    <t>Publicado</t>
  </si>
  <si>
    <t>2.6.5.6.01</t>
  </si>
  <si>
    <t>Equipo de generación eléctrica y a fines</t>
  </si>
  <si>
    <t>Pendiente Publicacion</t>
  </si>
  <si>
    <t>2.6.5.1.01</t>
  </si>
  <si>
    <t>Maquinaria y equipo agropecuario</t>
  </si>
  <si>
    <t>2.6.5.3.01</t>
  </si>
  <si>
    <t>Maquinaria y equipo de construcción - Retroexacavadora</t>
  </si>
  <si>
    <t>2.6.5.2.01</t>
  </si>
  <si>
    <t>Maquinaria y equipo industrial</t>
  </si>
  <si>
    <t>2.2.8.7.06</t>
  </si>
  <si>
    <t>Otros servicios técnicos profesionales</t>
  </si>
  <si>
    <t>2.3.9.9.05</t>
  </si>
  <si>
    <t>Productos y útiles diversos</t>
  </si>
  <si>
    <t>2.2.2.1.01</t>
  </si>
  <si>
    <t>Publicidad y propaganda</t>
  </si>
  <si>
    <t>CORAAMOCA-DAF-CM-2026-0024</t>
  </si>
  <si>
    <t>Reconstrucción de Centro de Servicio y Construcción de Parqueos</t>
  </si>
  <si>
    <t>Guauci</t>
  </si>
  <si>
    <t>Evaluacion de Oferna</t>
  </si>
  <si>
    <t>2.6.9.3.01</t>
  </si>
  <si>
    <t>Terrenos urbanos sin mejoras</t>
  </si>
  <si>
    <t>En Proceso</t>
  </si>
  <si>
    <t>2.6.1.3.01</t>
  </si>
  <si>
    <t>TECH PLUS OFFICES, S.R.L</t>
  </si>
  <si>
    <t>Equipos de tecnología de la información y comunicación</t>
  </si>
  <si>
    <t>Total de proyecto</t>
  </si>
  <si>
    <t>Cantidad de habitantes (Población)</t>
  </si>
  <si>
    <t>Metros Lineales</t>
  </si>
  <si>
    <t>Monto Presupuestado</t>
  </si>
  <si>
    <t>Monto en Apropiacion</t>
  </si>
  <si>
    <t>Monto Adjudicado</t>
  </si>
  <si>
    <t>Cubicaciones</t>
  </si>
  <si>
    <t>Estatus de Cubicaciones</t>
  </si>
  <si>
    <t>LIBRAMIENTO</t>
  </si>
  <si>
    <t>Descripcion</t>
  </si>
  <si>
    <t>Tipo</t>
  </si>
  <si>
    <t>Activo Fijo</t>
  </si>
  <si>
    <t>Activos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</si>
</sst>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9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43" fontId="4" fillId="0" borderId="0" xfId="1" applyFont="1" applyBorder="1" applyAlignment="1">
      <alignment horizontal="right" vertical="top"/>
    </xf>
    <xf numFmtId="43" fontId="3" fillId="0" borderId="0" xfId="1" applyFont="1" applyBorder="1"/>
    <xf numFmtId="0" fontId="5" fillId="0" borderId="0" xfId="0" applyFont="1"/>
    <xf numFmtId="43" fontId="5" fillId="0" borderId="0" xfId="1" applyFont="1" applyBorder="1"/>
    <xf numFmtId="0" fontId="6" fillId="0" borderId="0" xfId="0" applyFont="1" applyAlignment="1">
      <alignment horizontal="left" vertical="center"/>
    </xf>
    <xf numFmtId="43" fontId="3" fillId="0" borderId="0" xfId="1" applyFont="1" applyBorder="1" applyAlignment="1">
      <alignment horizontal="center" vertical="center"/>
    </xf>
    <xf numFmtId="0" fontId="2" fillId="2" borderId="0" xfId="0" applyFont="1" applyFill="1"/>
    <xf numFmtId="43" fontId="2" fillId="2" borderId="0" xfId="1" applyFont="1" applyFill="1"/>
    <xf numFmtId="43" fontId="3" fillId="0" borderId="0" xfId="1" applyFont="1"/>
    <xf numFmtId="43" fontId="3" fillId="0" borderId="0" xfId="0" applyNumberFormat="1" applyFont="1"/>
    <xf numFmtId="4" fontId="3" fillId="0" borderId="0" xfId="0" applyNumberFormat="1" applyFont="1"/>
    <xf numFmtId="9" fontId="3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9ADF6-604D-4590-947F-49585821825C}" name="Tabla1" displayName="Tabla1" ref="A1:X110" totalsRowShown="0" headerRowDxfId="25" dataDxfId="24">
  <autoFilter ref="A1:X110" xr:uid="{5AD40747-B36D-4C61-BFE5-11192C47AD58}"/>
  <sortState xmlns:xlrd2="http://schemas.microsoft.com/office/spreadsheetml/2017/richdata2" ref="A2:X110">
    <sortCondition ref="D1:D110"/>
  </sortState>
  <tableColumns count="24">
    <tableColumn id="1" xr3:uid="{524EAAB0-376B-4E3D-8C2C-818701BA5437}" name="Cuenta Presupuestaria" dataDxfId="23"/>
    <tableColumn id="2" xr3:uid="{C7C635CE-BD62-42FF-BBB6-AF56002299D6}" name="Proceso de Compras" dataDxfId="22"/>
    <tableColumn id="3" xr3:uid="{71D7956F-85EB-45A7-954B-6B88575E39CB}" name="Año de realización de Proyecto" dataDxfId="21"/>
    <tableColumn id="4" xr3:uid="{E4EE0274-02D2-4108-9378-D58F1B74A013}" name="Proveedor" dataDxfId="20"/>
    <tableColumn id="5" xr3:uid="{2FE15769-FFEA-46F4-9BED-6DD82682422C}" name="SNIP" dataDxfId="19"/>
    <tableColumn id="6" xr3:uid="{1CA1C679-36F9-4927-8C4F-09F3691636FD}" name="LOTE" dataDxfId="18"/>
    <tableColumn id="7" xr3:uid="{645E7998-71A0-4D74-A237-5E6737C2E8F2}" name="NO. LOTE" dataDxfId="17"/>
    <tableColumn id="15" xr3:uid="{B519A864-1FFD-442E-8EED-8F770CF30340}" name="Tipo" dataDxfId="0"/>
    <tableColumn id="8" xr3:uid="{44CE90C2-E991-484B-9412-E5977FD2CAAB}" name="Descripcion" dataDxfId="16"/>
    <tableColumn id="9" xr3:uid="{D394331A-3858-43B4-A149-BE213E72AE2B}" name="Municipio" dataDxfId="15"/>
    <tableColumn id="10" xr3:uid="{122C83C5-4CF3-439C-92CB-B145A742D16D}" name="Distrito" dataDxfId="14"/>
    <tableColumn id="11" xr3:uid="{0AFA726B-78F4-482F-96E0-FC5DD7839A9F}" name="Sector" dataDxfId="13"/>
    <tableColumn id="12" xr3:uid="{23C1B9A5-5DE5-434C-BA51-187E6644500F}" name="Cantidad de habitantes (Población)" dataDxfId="12"/>
    <tableColumn id="34" xr3:uid="{4B352D9E-5851-44AE-9CBF-613B18C03366}" name="Metros Lineales" dataDxfId="11"/>
    <tableColumn id="13" xr3:uid="{15A9D030-0B60-4FA8-9CBF-CDC0AC79AB15}" name="Monto Presupuestado" dataDxfId="10" dataCellStyle="Millares"/>
    <tableColumn id="33" xr3:uid="{4D333394-C861-4629-8F1E-5ABE0BBC484B}" name="Monto en Apropiacion" dataDxfId="9" dataCellStyle="Millares"/>
    <tableColumn id="14" xr3:uid="{8A2E58DC-8451-4644-8841-884D2E654736}" name="Monto Adjudicado" dataDxfId="8" dataCellStyle="Millares"/>
    <tableColumn id="16" xr3:uid="{4ED0647F-6181-4C96-B7F0-84DE7B74D65C}" name="Avance 20%" dataDxfId="7" dataCellStyle="Millares"/>
    <tableColumn id="18" xr3:uid="{28B0577F-0AA4-4AD9-8641-1D80BECA0A14}" name="Cubicaciones" dataDxfId="6" dataCellStyle="Millares"/>
    <tableColumn id="19" xr3:uid="{C2594088-AB84-4932-86F8-3DAB01012956}" name="Estatus de Cubicaciones" dataDxfId="5" dataCellStyle="Millares"/>
    <tableColumn id="26" xr3:uid="{D5E2F1C8-0C48-47C8-89A2-6B1D6B5FD155}" name="Total Cubicado" dataDxfId="4" dataCellStyle="Millares">
      <calculatedColumnFormula>Tabla1[[#This Row],[Cubicaciones]]</calculatedColumnFormula>
    </tableColumn>
    <tableColumn id="27" xr3:uid="{6D2E65D6-5D11-40E1-B640-6D6F51C91986}" name="TOTAL PAGADO" dataDxfId="3" dataCellStyle="Millares">
      <calculatedColumnFormula>Tabla1[[#This Row],[Avance 20%]]+Tabla1[[#This Row],[Total Cubicado]]</calculatedColumnFormula>
    </tableColumn>
    <tableColumn id="30" xr3:uid="{1A93E1E6-31CE-4F06-807D-3668C95C37CF}" name="Estatus" dataDxfId="2"/>
    <tableColumn id="31" xr3:uid="{EB4E6175-FF54-4F6C-B547-FA61E70A7679}" name="Avance de Obr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ECAF-2085-4B74-91F7-D68C40ADAF4E}">
  <dimension ref="A1:X122"/>
  <sheetViews>
    <sheetView tabSelected="1" zoomScale="80" zoomScaleNormal="80" workbookViewId="0">
      <pane xSplit="1" ySplit="1" topLeftCell="Q86" activePane="bottomRight" state="frozen"/>
      <selection pane="topRight" activeCell="B1" sqref="B1"/>
      <selection pane="bottomLeft" activeCell="A2" sqref="A2"/>
      <selection pane="bottomRight" activeCell="T96" sqref="T96"/>
    </sheetView>
  </sheetViews>
  <sheetFormatPr baseColWidth="10" defaultRowHeight="15.6" x14ac:dyDescent="0.3"/>
  <cols>
    <col min="1" max="1" width="28.21875" style="5" bestFit="1" customWidth="1"/>
    <col min="2" max="2" width="32.21875" style="5" bestFit="1" customWidth="1"/>
    <col min="3" max="3" width="36.6640625" style="5" bestFit="1" customWidth="1"/>
    <col min="4" max="4" width="48.77734375" style="5" bestFit="1" customWidth="1"/>
    <col min="5" max="5" width="11" style="5" bestFit="1" customWidth="1"/>
    <col min="6" max="6" width="11.21875" style="5" bestFit="1" customWidth="1"/>
    <col min="7" max="7" width="15.44140625" style="5" bestFit="1" customWidth="1"/>
    <col min="8" max="8" width="15.44140625" style="5" customWidth="1"/>
    <col min="9" max="9" width="89.33203125" style="5" bestFit="1" customWidth="1"/>
    <col min="10" max="10" width="20" style="5" bestFit="1" customWidth="1"/>
    <col min="11" max="11" width="15.44140625" style="5" bestFit="1" customWidth="1"/>
    <col min="12" max="12" width="49.33203125" style="5" bestFit="1" customWidth="1"/>
    <col min="13" max="13" width="21.77734375" style="5" bestFit="1" customWidth="1"/>
    <col min="14" max="14" width="21.77734375" style="5" customWidth="1"/>
    <col min="15" max="15" width="30" style="5" bestFit="1" customWidth="1"/>
    <col min="16" max="16" width="30.77734375" style="5" bestFit="1" customWidth="1"/>
    <col min="17" max="17" width="42.88671875" style="5" bestFit="1" customWidth="1"/>
    <col min="18" max="18" width="17.88671875" style="5" bestFit="1" customWidth="1"/>
    <col min="19" max="19" width="22.21875" style="5" bestFit="1" customWidth="1"/>
    <col min="20" max="20" width="29.33203125" style="5" bestFit="1" customWidth="1"/>
    <col min="21" max="21" width="20.6640625" style="5" bestFit="1" customWidth="1"/>
    <col min="22" max="22" width="21.6640625" style="5" bestFit="1" customWidth="1"/>
    <col min="23" max="24" width="21.77734375" style="5" bestFit="1" customWidth="1"/>
    <col min="25" max="16384" width="11.5546875" style="5"/>
  </cols>
  <sheetData>
    <row r="1" spans="1:24" ht="46.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184</v>
      </c>
      <c r="I1" s="3" t="s">
        <v>183</v>
      </c>
      <c r="J1" s="3" t="s">
        <v>8</v>
      </c>
      <c r="K1" s="3" t="s">
        <v>9</v>
      </c>
      <c r="L1" s="3" t="s">
        <v>10</v>
      </c>
      <c r="M1" s="2" t="s">
        <v>175</v>
      </c>
      <c r="N1" s="2" t="s">
        <v>176</v>
      </c>
      <c r="O1" s="1" t="s">
        <v>177</v>
      </c>
      <c r="P1" s="2" t="s">
        <v>178</v>
      </c>
      <c r="Q1" s="1" t="s">
        <v>179</v>
      </c>
      <c r="R1" s="4" t="s">
        <v>11</v>
      </c>
      <c r="S1" s="1" t="s">
        <v>180</v>
      </c>
      <c r="T1" s="1" t="s">
        <v>181</v>
      </c>
      <c r="U1" s="1" t="s">
        <v>12</v>
      </c>
      <c r="V1" s="1" t="s">
        <v>13</v>
      </c>
      <c r="W1" s="1" t="s">
        <v>14</v>
      </c>
      <c r="X1" s="1" t="s">
        <v>15</v>
      </c>
    </row>
    <row r="2" spans="1:24" x14ac:dyDescent="0.3">
      <c r="A2" s="5" t="s">
        <v>16</v>
      </c>
      <c r="B2" s="5" t="s">
        <v>17</v>
      </c>
      <c r="D2" s="5" t="s">
        <v>18</v>
      </c>
      <c r="E2" s="5">
        <v>16340</v>
      </c>
      <c r="H2" s="5" t="s">
        <v>185</v>
      </c>
      <c r="I2" s="5" t="s">
        <v>19</v>
      </c>
      <c r="J2" s="5" t="s">
        <v>20</v>
      </c>
      <c r="O2" s="6">
        <v>344000</v>
      </c>
      <c r="P2" s="6"/>
      <c r="Q2" s="7">
        <v>288746</v>
      </c>
      <c r="R2" s="7"/>
      <c r="S2" s="7"/>
      <c r="T2" s="7"/>
      <c r="U2" s="7">
        <f>Tabla1[[#This Row],[Cubicaciones]]</f>
        <v>0</v>
      </c>
      <c r="V2" s="7">
        <f>Tabla1[[#This Row],[Avance 20%]]+Tabla1[[#This Row],[Total Cubicado]]</f>
        <v>0</v>
      </c>
      <c r="W2" s="5" t="s">
        <v>21</v>
      </c>
      <c r="X2" s="17">
        <f>Tabla1[[#This Row],[TOTAL PAGADO]]/Tabla1[[#This Row],[Monto Adjudicado]]*100%</f>
        <v>0</v>
      </c>
    </row>
    <row r="3" spans="1:24" x14ac:dyDescent="0.3">
      <c r="B3" s="5" t="s">
        <v>22</v>
      </c>
      <c r="C3" s="5">
        <v>2025</v>
      </c>
      <c r="D3" s="5" t="s">
        <v>23</v>
      </c>
      <c r="E3" s="5">
        <v>16879</v>
      </c>
      <c r="F3" s="5" t="s">
        <v>24</v>
      </c>
      <c r="G3" s="5">
        <v>14</v>
      </c>
      <c r="H3" s="5" t="s">
        <v>7</v>
      </c>
      <c r="I3" s="5" t="s">
        <v>25</v>
      </c>
      <c r="J3" s="5" t="s">
        <v>26</v>
      </c>
      <c r="K3" s="5" t="s">
        <v>27</v>
      </c>
      <c r="L3" s="5" t="s">
        <v>28</v>
      </c>
      <c r="M3" s="5">
        <v>75</v>
      </c>
      <c r="O3" s="7">
        <v>705067.08</v>
      </c>
      <c r="P3" s="7"/>
      <c r="Q3" s="7">
        <v>648739.39</v>
      </c>
      <c r="R3" s="7">
        <v>129747.87800000001</v>
      </c>
      <c r="S3" s="7"/>
      <c r="T3" s="7"/>
      <c r="U3" s="7">
        <f>Tabla1[[#This Row],[Cubicaciones]]</f>
        <v>0</v>
      </c>
      <c r="V3" s="7">
        <f>Tabla1[[#This Row],[Avance 20%]]+Tabla1[[#This Row],[Total Cubicado]]</f>
        <v>129747.87800000001</v>
      </c>
      <c r="W3" s="5" t="s">
        <v>29</v>
      </c>
      <c r="X3" s="17">
        <f>Tabla1[[#This Row],[TOTAL PAGADO]]/Tabla1[[#This Row],[Monto Adjudicado]]*100%</f>
        <v>0.2</v>
      </c>
    </row>
    <row r="4" spans="1:24" x14ac:dyDescent="0.3">
      <c r="B4" s="5" t="s">
        <v>22</v>
      </c>
      <c r="C4" s="5">
        <v>2025</v>
      </c>
      <c r="D4" s="5" t="s">
        <v>23</v>
      </c>
      <c r="E4" s="5">
        <v>16879</v>
      </c>
      <c r="F4" s="5" t="s">
        <v>24</v>
      </c>
      <c r="G4" s="5">
        <v>15</v>
      </c>
      <c r="H4" s="5" t="s">
        <v>7</v>
      </c>
      <c r="I4" s="5" t="s">
        <v>25</v>
      </c>
      <c r="J4" s="5" t="s">
        <v>26</v>
      </c>
      <c r="K4" s="5" t="s">
        <v>27</v>
      </c>
      <c r="L4" s="5" t="s">
        <v>30</v>
      </c>
      <c r="M4" s="5">
        <v>350</v>
      </c>
      <c r="O4" s="7">
        <v>1502938.05</v>
      </c>
      <c r="P4" s="7"/>
      <c r="Q4" s="7">
        <v>1396857.16</v>
      </c>
      <c r="R4" s="7">
        <v>279371.43199999997</v>
      </c>
      <c r="S4" s="7"/>
      <c r="T4" s="7"/>
      <c r="U4" s="7">
        <f>Tabla1[[#This Row],[Cubicaciones]]</f>
        <v>0</v>
      </c>
      <c r="V4" s="7">
        <f>Tabla1[[#This Row],[Avance 20%]]+Tabla1[[#This Row],[Total Cubicado]]</f>
        <v>279371.43199999997</v>
      </c>
      <c r="W4" s="5" t="s">
        <v>29</v>
      </c>
      <c r="X4" s="17">
        <f>Tabla1[[#This Row],[TOTAL PAGADO]]/Tabla1[[#This Row],[Monto Adjudicado]]*100%</f>
        <v>0.19999999999999998</v>
      </c>
    </row>
    <row r="5" spans="1:24" x14ac:dyDescent="0.3">
      <c r="D5" s="5" t="s">
        <v>31</v>
      </c>
      <c r="E5" s="5">
        <v>16340</v>
      </c>
      <c r="H5" s="5" t="s">
        <v>7</v>
      </c>
      <c r="I5" s="5" t="s">
        <v>25</v>
      </c>
      <c r="J5" s="5" t="s">
        <v>20</v>
      </c>
      <c r="L5" s="5" t="s">
        <v>32</v>
      </c>
      <c r="M5" s="5">
        <v>54</v>
      </c>
      <c r="O5" s="7">
        <v>544071.25</v>
      </c>
      <c r="P5" s="7"/>
      <c r="Q5" s="7">
        <v>422400.31</v>
      </c>
      <c r="R5" s="7">
        <v>84480.062000000005</v>
      </c>
      <c r="S5" s="7"/>
      <c r="T5" s="7"/>
      <c r="U5" s="7">
        <f>Tabla1[[#This Row],[Cubicaciones]]</f>
        <v>0</v>
      </c>
      <c r="V5" s="7">
        <f>Tabla1[[#This Row],[Avance 20%]]+Tabla1[[#This Row],[Total Cubicado]]</f>
        <v>84480.062000000005</v>
      </c>
      <c r="W5" s="5" t="s">
        <v>33</v>
      </c>
      <c r="X5" s="17">
        <f>Tabla1[[#This Row],[TOTAL PAGADO]]/Tabla1[[#This Row],[Monto Adjudicado]]*100%</f>
        <v>0.2</v>
      </c>
    </row>
    <row r="6" spans="1:24" x14ac:dyDescent="0.3">
      <c r="D6" s="5" t="s">
        <v>31</v>
      </c>
      <c r="E6" s="5">
        <v>16340</v>
      </c>
      <c r="H6" s="5" t="s">
        <v>7</v>
      </c>
      <c r="I6" s="5" t="s">
        <v>25</v>
      </c>
      <c r="J6" s="5" t="s">
        <v>20</v>
      </c>
      <c r="L6" s="5" t="s">
        <v>34</v>
      </c>
      <c r="M6" s="5">
        <v>78</v>
      </c>
      <c r="O6" s="7">
        <v>233463.41</v>
      </c>
      <c r="P6" s="7"/>
      <c r="Q6" s="7">
        <v>269102.55</v>
      </c>
      <c r="R6" s="7">
        <v>53820.51</v>
      </c>
      <c r="S6" s="7"/>
      <c r="T6" s="7"/>
      <c r="U6" s="7">
        <f>Tabla1[[#This Row],[Cubicaciones]]</f>
        <v>0</v>
      </c>
      <c r="V6" s="7">
        <f>Tabla1[[#This Row],[Avance 20%]]+Tabla1[[#This Row],[Total Cubicado]]</f>
        <v>53820.51</v>
      </c>
      <c r="W6" s="5" t="s">
        <v>33</v>
      </c>
      <c r="X6" s="17">
        <f>Tabla1[[#This Row],[TOTAL PAGADO]]/Tabla1[[#This Row],[Monto Adjudicado]]*100%</f>
        <v>0.2</v>
      </c>
    </row>
    <row r="7" spans="1:24" x14ac:dyDescent="0.3">
      <c r="D7" s="5" t="s">
        <v>31</v>
      </c>
      <c r="E7" s="5">
        <v>16340</v>
      </c>
      <c r="H7" s="5" t="s">
        <v>7</v>
      </c>
      <c r="I7" s="5" t="s">
        <v>25</v>
      </c>
      <c r="J7" s="5" t="s">
        <v>20</v>
      </c>
      <c r="L7" s="5" t="s">
        <v>35</v>
      </c>
      <c r="M7" s="5">
        <v>66</v>
      </c>
      <c r="O7" s="7">
        <v>363390.87</v>
      </c>
      <c r="P7" s="7"/>
      <c r="Q7" s="7">
        <v>331387.64</v>
      </c>
      <c r="R7" s="7">
        <v>66277.528000000006</v>
      </c>
      <c r="S7" s="7"/>
      <c r="T7" s="7"/>
      <c r="U7" s="7">
        <f>Tabla1[[#This Row],[Cubicaciones]]</f>
        <v>0</v>
      </c>
      <c r="V7" s="7">
        <f>Tabla1[[#This Row],[Avance 20%]]+Tabla1[[#This Row],[Total Cubicado]]</f>
        <v>66277.528000000006</v>
      </c>
      <c r="W7" s="5" t="s">
        <v>33</v>
      </c>
      <c r="X7" s="17">
        <f>Tabla1[[#This Row],[TOTAL PAGADO]]/Tabla1[[#This Row],[Monto Adjudicado]]*100%</f>
        <v>0.2</v>
      </c>
    </row>
    <row r="8" spans="1:24" x14ac:dyDescent="0.3">
      <c r="D8" s="5" t="s">
        <v>31</v>
      </c>
      <c r="E8" s="5">
        <v>16340</v>
      </c>
      <c r="H8" s="5" t="s">
        <v>7</v>
      </c>
      <c r="I8" s="5" t="s">
        <v>25</v>
      </c>
      <c r="J8" s="5" t="s">
        <v>20</v>
      </c>
      <c r="L8" s="5" t="s">
        <v>36</v>
      </c>
      <c r="M8" s="5">
        <v>57</v>
      </c>
      <c r="O8" s="7">
        <v>308577.71999999997</v>
      </c>
      <c r="P8" s="7"/>
      <c r="Q8" s="7">
        <v>291918.65000000002</v>
      </c>
      <c r="R8" s="7">
        <v>58383.73000000001</v>
      </c>
      <c r="S8" s="7"/>
      <c r="T8" s="7"/>
      <c r="U8" s="7">
        <f>Tabla1[[#This Row],[Cubicaciones]]</f>
        <v>0</v>
      </c>
      <c r="V8" s="7">
        <f>Tabla1[[#This Row],[Avance 20%]]+Tabla1[[#This Row],[Total Cubicado]]</f>
        <v>58383.73000000001</v>
      </c>
      <c r="W8" s="5" t="s">
        <v>33</v>
      </c>
      <c r="X8" s="17">
        <f>Tabla1[[#This Row],[TOTAL PAGADO]]/Tabla1[[#This Row],[Monto Adjudicado]]*100%</f>
        <v>0.2</v>
      </c>
    </row>
    <row r="9" spans="1:24" x14ac:dyDescent="0.3">
      <c r="D9" s="5" t="s">
        <v>31</v>
      </c>
      <c r="E9" s="5">
        <v>16340</v>
      </c>
      <c r="H9" s="5" t="s">
        <v>7</v>
      </c>
      <c r="I9" s="5" t="s">
        <v>25</v>
      </c>
      <c r="J9" s="5" t="s">
        <v>20</v>
      </c>
      <c r="L9" s="5" t="s">
        <v>37</v>
      </c>
      <c r="M9" s="5">
        <v>48</v>
      </c>
      <c r="O9" s="7">
        <v>263915.15999999997</v>
      </c>
      <c r="P9" s="7"/>
      <c r="Q9" s="7">
        <v>258195.18</v>
      </c>
      <c r="R9" s="7">
        <v>51639.036</v>
      </c>
      <c r="S9" s="7"/>
      <c r="T9" s="7"/>
      <c r="U9" s="7">
        <f>Tabla1[[#This Row],[Cubicaciones]]</f>
        <v>0</v>
      </c>
      <c r="V9" s="7">
        <f>Tabla1[[#This Row],[Avance 20%]]+Tabla1[[#This Row],[Total Cubicado]]</f>
        <v>51639.036</v>
      </c>
      <c r="W9" s="5" t="s">
        <v>33</v>
      </c>
      <c r="X9" s="17">
        <f>Tabla1[[#This Row],[TOTAL PAGADO]]/Tabla1[[#This Row],[Monto Adjudicado]]*100%</f>
        <v>0.2</v>
      </c>
    </row>
    <row r="10" spans="1:24" x14ac:dyDescent="0.3">
      <c r="D10" s="5" t="s">
        <v>31</v>
      </c>
      <c r="E10" s="5">
        <v>16340</v>
      </c>
      <c r="H10" s="5" t="s">
        <v>7</v>
      </c>
      <c r="I10" s="5" t="s">
        <v>25</v>
      </c>
      <c r="J10" s="5" t="s">
        <v>20</v>
      </c>
      <c r="L10" s="5" t="s">
        <v>38</v>
      </c>
      <c r="M10" s="5">
        <v>6</v>
      </c>
      <c r="O10" s="7">
        <v>162409.32999999999</v>
      </c>
      <c r="P10" s="7"/>
      <c r="Q10" s="7">
        <v>161338.49</v>
      </c>
      <c r="R10" s="7">
        <v>32267.698</v>
      </c>
      <c r="S10" s="7"/>
      <c r="T10" s="7"/>
      <c r="U10" s="7">
        <f>Tabla1[[#This Row],[Cubicaciones]]</f>
        <v>0</v>
      </c>
      <c r="V10" s="7">
        <f>Tabla1[[#This Row],[Avance 20%]]+Tabla1[[#This Row],[Total Cubicado]]</f>
        <v>32267.698</v>
      </c>
      <c r="W10" s="5" t="s">
        <v>33</v>
      </c>
      <c r="X10" s="17">
        <f>Tabla1[[#This Row],[TOTAL PAGADO]]/Tabla1[[#This Row],[Monto Adjudicado]]*100%</f>
        <v>0.2</v>
      </c>
    </row>
    <row r="11" spans="1:24" x14ac:dyDescent="0.3">
      <c r="D11" s="5" t="s">
        <v>31</v>
      </c>
      <c r="E11" s="5">
        <v>16340</v>
      </c>
      <c r="H11" s="5" t="s">
        <v>7</v>
      </c>
      <c r="I11" s="5" t="s">
        <v>25</v>
      </c>
      <c r="J11" s="5" t="s">
        <v>20</v>
      </c>
      <c r="L11" s="5" t="s">
        <v>39</v>
      </c>
      <c r="M11" s="5">
        <v>36</v>
      </c>
      <c r="O11" s="7">
        <v>535950.78</v>
      </c>
      <c r="P11" s="7"/>
      <c r="Q11" s="7">
        <v>400917.65</v>
      </c>
      <c r="R11" s="7">
        <v>80183.530000000013</v>
      </c>
      <c r="S11" s="7"/>
      <c r="T11" s="7"/>
      <c r="U11" s="7">
        <f>Tabla1[[#This Row],[Cubicaciones]]</f>
        <v>0</v>
      </c>
      <c r="V11" s="7">
        <f>Tabla1[[#This Row],[Avance 20%]]+Tabla1[[#This Row],[Total Cubicado]]</f>
        <v>80183.530000000013</v>
      </c>
      <c r="W11" s="5" t="s">
        <v>33</v>
      </c>
      <c r="X11" s="17">
        <f>Tabla1[[#This Row],[TOTAL PAGADO]]/Tabla1[[#This Row],[Monto Adjudicado]]*100%</f>
        <v>0.2</v>
      </c>
    </row>
    <row r="12" spans="1:24" x14ac:dyDescent="0.3">
      <c r="D12" s="5" t="s">
        <v>31</v>
      </c>
      <c r="E12" s="5">
        <v>16340</v>
      </c>
      <c r="H12" s="5" t="s">
        <v>7</v>
      </c>
      <c r="I12" s="5" t="s">
        <v>25</v>
      </c>
      <c r="J12" s="5" t="s">
        <v>20</v>
      </c>
      <c r="L12" s="5" t="s">
        <v>40</v>
      </c>
      <c r="M12" s="5">
        <v>48</v>
      </c>
      <c r="O12" s="7">
        <v>540011.02</v>
      </c>
      <c r="P12" s="7"/>
      <c r="Q12" s="7">
        <v>414473.32</v>
      </c>
      <c r="R12" s="7">
        <v>82894.664000000004</v>
      </c>
      <c r="S12" s="7"/>
      <c r="T12" s="7"/>
      <c r="U12" s="7">
        <f>Tabla1[[#This Row],[Cubicaciones]]</f>
        <v>0</v>
      </c>
      <c r="V12" s="7">
        <f>Tabla1[[#This Row],[Avance 20%]]+Tabla1[[#This Row],[Total Cubicado]]</f>
        <v>82894.664000000004</v>
      </c>
      <c r="W12" s="5" t="s">
        <v>33</v>
      </c>
      <c r="X12" s="17">
        <f>Tabla1[[#This Row],[TOTAL PAGADO]]/Tabla1[[#This Row],[Monto Adjudicado]]*100%</f>
        <v>0.2</v>
      </c>
    </row>
    <row r="13" spans="1:24" x14ac:dyDescent="0.3">
      <c r="D13" s="5" t="s">
        <v>31</v>
      </c>
      <c r="E13" s="5">
        <v>16340</v>
      </c>
      <c r="H13" s="5" t="s">
        <v>7</v>
      </c>
      <c r="I13" s="5" t="s">
        <v>25</v>
      </c>
      <c r="J13" s="5" t="s">
        <v>20</v>
      </c>
      <c r="L13" s="5" t="s">
        <v>41</v>
      </c>
      <c r="M13" s="5">
        <v>123</v>
      </c>
      <c r="O13" s="7">
        <v>578583.23</v>
      </c>
      <c r="P13" s="7"/>
      <c r="Q13" s="7">
        <v>497311.45</v>
      </c>
      <c r="R13" s="7">
        <v>99462.290000000008</v>
      </c>
      <c r="S13" s="7"/>
      <c r="T13" s="7"/>
      <c r="U13" s="7">
        <f>Tabla1[[#This Row],[Cubicaciones]]</f>
        <v>0</v>
      </c>
      <c r="V13" s="7">
        <f>Tabla1[[#This Row],[Avance 20%]]+Tabla1[[#This Row],[Total Cubicado]]</f>
        <v>99462.290000000008</v>
      </c>
      <c r="W13" s="5" t="s">
        <v>33</v>
      </c>
      <c r="X13" s="17">
        <f>Tabla1[[#This Row],[TOTAL PAGADO]]/Tabla1[[#This Row],[Monto Adjudicado]]*100%</f>
        <v>0.2</v>
      </c>
    </row>
    <row r="14" spans="1:24" x14ac:dyDescent="0.3">
      <c r="D14" s="5" t="s">
        <v>31</v>
      </c>
      <c r="E14" s="5">
        <v>16340</v>
      </c>
      <c r="H14" s="5" t="s">
        <v>7</v>
      </c>
      <c r="I14" s="5" t="s">
        <v>25</v>
      </c>
      <c r="J14" s="5" t="s">
        <v>20</v>
      </c>
      <c r="L14" s="5" t="s">
        <v>42</v>
      </c>
      <c r="M14" s="5">
        <v>120</v>
      </c>
      <c r="O14" s="7">
        <v>304517.49</v>
      </c>
      <c r="P14" s="7"/>
      <c r="Q14" s="7">
        <v>348722.69</v>
      </c>
      <c r="R14" s="7">
        <v>69744.538</v>
      </c>
      <c r="S14" s="7"/>
      <c r="T14" s="7"/>
      <c r="U14" s="7">
        <f>Tabla1[[#This Row],[Cubicaciones]]</f>
        <v>0</v>
      </c>
      <c r="V14" s="7">
        <f>Tabla1[[#This Row],[Avance 20%]]+Tabla1[[#This Row],[Total Cubicado]]</f>
        <v>69744.538</v>
      </c>
      <c r="W14" s="5" t="s">
        <v>33</v>
      </c>
      <c r="X14" s="17">
        <f>Tabla1[[#This Row],[TOTAL PAGADO]]/Tabla1[[#This Row],[Monto Adjudicado]]*100%</f>
        <v>0.2</v>
      </c>
    </row>
    <row r="15" spans="1:24" x14ac:dyDescent="0.3">
      <c r="D15" s="5" t="s">
        <v>31</v>
      </c>
      <c r="E15" s="5">
        <v>16340</v>
      </c>
      <c r="H15" s="5" t="s">
        <v>7</v>
      </c>
      <c r="I15" s="5" t="s">
        <v>25</v>
      </c>
      <c r="J15" s="5" t="s">
        <v>20</v>
      </c>
      <c r="L15" s="5" t="s">
        <v>43</v>
      </c>
      <c r="M15" s="5">
        <v>45</v>
      </c>
      <c r="O15" s="7">
        <v>812046.64</v>
      </c>
      <c r="P15" s="7"/>
      <c r="Q15" s="7">
        <v>565638.86</v>
      </c>
      <c r="R15" s="7">
        <v>113127.772</v>
      </c>
      <c r="S15" s="7"/>
      <c r="T15" s="7"/>
      <c r="U15" s="7">
        <f>Tabla1[[#This Row],[Cubicaciones]]</f>
        <v>0</v>
      </c>
      <c r="V15" s="7">
        <f>Tabla1[[#This Row],[Avance 20%]]+Tabla1[[#This Row],[Total Cubicado]]</f>
        <v>113127.772</v>
      </c>
      <c r="W15" s="5" t="s">
        <v>33</v>
      </c>
      <c r="X15" s="17">
        <f>Tabla1[[#This Row],[TOTAL PAGADO]]/Tabla1[[#This Row],[Monto Adjudicado]]*100%</f>
        <v>0.2</v>
      </c>
    </row>
    <row r="16" spans="1:24" x14ac:dyDescent="0.3">
      <c r="D16" s="5" t="s">
        <v>31</v>
      </c>
      <c r="E16" s="5">
        <v>16340</v>
      </c>
      <c r="H16" s="5" t="s">
        <v>7</v>
      </c>
      <c r="I16" s="5" t="s">
        <v>25</v>
      </c>
      <c r="J16" s="5" t="s">
        <v>20</v>
      </c>
      <c r="L16" s="5" t="s">
        <v>44</v>
      </c>
      <c r="M16" s="5">
        <v>30</v>
      </c>
      <c r="O16" s="7">
        <v>710540.81</v>
      </c>
      <c r="P16" s="7"/>
      <c r="Q16" s="7">
        <v>494111.7</v>
      </c>
      <c r="R16" s="7">
        <v>98822.340000000011</v>
      </c>
      <c r="S16" s="7"/>
      <c r="T16" s="7"/>
      <c r="U16" s="7">
        <f>Tabla1[[#This Row],[Cubicaciones]]</f>
        <v>0</v>
      </c>
      <c r="V16" s="7">
        <f>Tabla1[[#This Row],[Avance 20%]]+Tabla1[[#This Row],[Total Cubicado]]</f>
        <v>98822.340000000011</v>
      </c>
      <c r="W16" s="5" t="s">
        <v>33</v>
      </c>
      <c r="X16" s="17">
        <f>Tabla1[[#This Row],[TOTAL PAGADO]]/Tabla1[[#This Row],[Monto Adjudicado]]*100%</f>
        <v>0.2</v>
      </c>
    </row>
    <row r="17" spans="2:24" x14ac:dyDescent="0.3">
      <c r="D17" s="5" t="s">
        <v>31</v>
      </c>
      <c r="E17" s="5">
        <v>16340</v>
      </c>
      <c r="H17" s="5" t="s">
        <v>7</v>
      </c>
      <c r="I17" s="5" t="s">
        <v>25</v>
      </c>
      <c r="J17" s="5" t="s">
        <v>20</v>
      </c>
      <c r="L17" s="5" t="s">
        <v>45</v>
      </c>
      <c r="M17" s="5">
        <v>51</v>
      </c>
      <c r="O17" s="7">
        <v>531890.55000000005</v>
      </c>
      <c r="P17" s="7"/>
      <c r="Q17" s="7">
        <v>417265.42</v>
      </c>
      <c r="R17" s="7">
        <v>83453.084000000003</v>
      </c>
      <c r="S17" s="7"/>
      <c r="T17" s="7"/>
      <c r="U17" s="7">
        <f>Tabla1[[#This Row],[Cubicaciones]]</f>
        <v>0</v>
      </c>
      <c r="V17" s="7">
        <f>Tabla1[[#This Row],[Avance 20%]]+Tabla1[[#This Row],[Total Cubicado]]</f>
        <v>83453.084000000003</v>
      </c>
      <c r="W17" s="5" t="s">
        <v>33</v>
      </c>
      <c r="X17" s="17">
        <f>Tabla1[[#This Row],[TOTAL PAGADO]]/Tabla1[[#This Row],[Monto Adjudicado]]*100%</f>
        <v>0.2</v>
      </c>
    </row>
    <row r="18" spans="2:24" x14ac:dyDescent="0.3">
      <c r="D18" s="5" t="s">
        <v>31</v>
      </c>
      <c r="E18" s="5">
        <v>16340</v>
      </c>
      <c r="H18" s="5" t="s">
        <v>7</v>
      </c>
      <c r="I18" s="5" t="s">
        <v>25</v>
      </c>
      <c r="J18" s="5" t="s">
        <v>20</v>
      </c>
      <c r="L18" s="5" t="s">
        <v>46</v>
      </c>
      <c r="M18" s="5">
        <v>147</v>
      </c>
      <c r="O18" s="7">
        <v>507529.15</v>
      </c>
      <c r="P18" s="7"/>
      <c r="Q18" s="7">
        <v>488962.61</v>
      </c>
      <c r="R18" s="7">
        <v>97792.521999999997</v>
      </c>
      <c r="S18" s="7"/>
      <c r="T18" s="7"/>
      <c r="U18" s="7">
        <f>Tabla1[[#This Row],[Cubicaciones]]</f>
        <v>0</v>
      </c>
      <c r="V18" s="7">
        <f>Tabla1[[#This Row],[Avance 20%]]+Tabla1[[#This Row],[Total Cubicado]]</f>
        <v>97792.521999999997</v>
      </c>
      <c r="W18" s="5" t="s">
        <v>33</v>
      </c>
      <c r="X18" s="17">
        <f>Tabla1[[#This Row],[TOTAL PAGADO]]/Tabla1[[#This Row],[Monto Adjudicado]]*100%</f>
        <v>0.2</v>
      </c>
    </row>
    <row r="19" spans="2:24" x14ac:dyDescent="0.3">
      <c r="D19" s="5" t="s">
        <v>31</v>
      </c>
      <c r="E19" s="5">
        <v>16340</v>
      </c>
      <c r="H19" s="5" t="s">
        <v>7</v>
      </c>
      <c r="I19" s="5" t="s">
        <v>25</v>
      </c>
      <c r="J19" s="5" t="s">
        <v>20</v>
      </c>
      <c r="L19" s="5" t="s">
        <v>47</v>
      </c>
      <c r="M19" s="5">
        <v>42</v>
      </c>
      <c r="O19" s="7">
        <v>172559.91</v>
      </c>
      <c r="P19" s="7"/>
      <c r="Q19" s="7">
        <v>200850.72</v>
      </c>
      <c r="R19" s="7">
        <v>40170.144</v>
      </c>
      <c r="S19" s="7"/>
      <c r="T19" s="7"/>
      <c r="U19" s="7">
        <f>Tabla1[[#This Row],[Cubicaciones]]</f>
        <v>0</v>
      </c>
      <c r="V19" s="7">
        <f>Tabla1[[#This Row],[Avance 20%]]+Tabla1[[#This Row],[Total Cubicado]]</f>
        <v>40170.144</v>
      </c>
      <c r="W19" s="5" t="s">
        <v>33</v>
      </c>
      <c r="X19" s="17">
        <f>Tabla1[[#This Row],[TOTAL PAGADO]]/Tabla1[[#This Row],[Monto Adjudicado]]*100%</f>
        <v>0.2</v>
      </c>
    </row>
    <row r="20" spans="2:24" x14ac:dyDescent="0.3">
      <c r="D20" s="5" t="s">
        <v>31</v>
      </c>
      <c r="E20" s="5">
        <v>16340</v>
      </c>
      <c r="H20" s="5" t="s">
        <v>7</v>
      </c>
      <c r="I20" s="5" t="s">
        <v>25</v>
      </c>
      <c r="J20" s="5" t="s">
        <v>48</v>
      </c>
      <c r="L20" s="5" t="s">
        <v>49</v>
      </c>
      <c r="M20" s="5">
        <v>2010</v>
      </c>
      <c r="O20" s="7">
        <v>225612.52740823478</v>
      </c>
      <c r="P20" s="7"/>
      <c r="Q20" s="7">
        <v>231263.29</v>
      </c>
      <c r="R20" s="7">
        <v>46252.658000000003</v>
      </c>
      <c r="S20" s="7"/>
      <c r="T20" s="7"/>
      <c r="U20" s="7">
        <f>Tabla1[[#This Row],[Cubicaciones]]</f>
        <v>0</v>
      </c>
      <c r="V20" s="7">
        <f>Tabla1[[#This Row],[Avance 20%]]+Tabla1[[#This Row],[Total Cubicado]]</f>
        <v>46252.658000000003</v>
      </c>
      <c r="W20" s="5" t="s">
        <v>33</v>
      </c>
      <c r="X20" s="17">
        <f>Tabla1[[#This Row],[TOTAL PAGADO]]/Tabla1[[#This Row],[Monto Adjudicado]]*100%</f>
        <v>0.2</v>
      </c>
    </row>
    <row r="21" spans="2:24" x14ac:dyDescent="0.3">
      <c r="D21" s="5" t="s">
        <v>31</v>
      </c>
      <c r="E21" s="5">
        <v>16340</v>
      </c>
      <c r="H21" s="5" t="s">
        <v>7</v>
      </c>
      <c r="I21" s="5" t="s">
        <v>25</v>
      </c>
      <c r="J21" s="5" t="s">
        <v>48</v>
      </c>
      <c r="L21" s="5" t="s">
        <v>50</v>
      </c>
      <c r="M21" s="5">
        <v>570</v>
      </c>
      <c r="O21" s="7">
        <v>4074815.4680292024</v>
      </c>
      <c r="P21" s="7"/>
      <c r="Q21" s="7">
        <v>4023612.21</v>
      </c>
      <c r="R21" s="7">
        <v>804722.44200000004</v>
      </c>
      <c r="S21" s="7"/>
      <c r="T21" s="7"/>
      <c r="U21" s="7">
        <f>Tabla1[[#This Row],[Cubicaciones]]</f>
        <v>0</v>
      </c>
      <c r="V21" s="7">
        <f>Tabla1[[#This Row],[Avance 20%]]+Tabla1[[#This Row],[Total Cubicado]]</f>
        <v>804722.44200000004</v>
      </c>
      <c r="W21" s="5" t="s">
        <v>33</v>
      </c>
      <c r="X21" s="17">
        <f>Tabla1[[#This Row],[TOTAL PAGADO]]/Tabla1[[#This Row],[Monto Adjudicado]]*100%</f>
        <v>0.2</v>
      </c>
    </row>
    <row r="22" spans="2:24" x14ac:dyDescent="0.3">
      <c r="D22" s="5" t="s">
        <v>31</v>
      </c>
      <c r="E22" s="5">
        <v>16340</v>
      </c>
      <c r="H22" s="5" t="s">
        <v>7</v>
      </c>
      <c r="I22" s="5" t="s">
        <v>25</v>
      </c>
      <c r="J22" s="5" t="s">
        <v>48</v>
      </c>
      <c r="L22" s="5" t="s">
        <v>51</v>
      </c>
      <c r="M22" s="5">
        <v>36</v>
      </c>
      <c r="O22" s="7">
        <v>511793.93667326478</v>
      </c>
      <c r="P22" s="7"/>
      <c r="Q22" s="7">
        <v>523486.66</v>
      </c>
      <c r="R22" s="7">
        <v>104697.33199999999</v>
      </c>
      <c r="S22" s="7"/>
      <c r="T22" s="7"/>
      <c r="U22" s="7">
        <f>Tabla1[[#This Row],[Cubicaciones]]</f>
        <v>0</v>
      </c>
      <c r="V22" s="7">
        <f>Tabla1[[#This Row],[Avance 20%]]+Tabla1[[#This Row],[Total Cubicado]]</f>
        <v>104697.33199999999</v>
      </c>
      <c r="W22" s="5" t="s">
        <v>33</v>
      </c>
      <c r="X22" s="17">
        <f>Tabla1[[#This Row],[TOTAL PAGADO]]/Tabla1[[#This Row],[Monto Adjudicado]]*100%</f>
        <v>0.2</v>
      </c>
    </row>
    <row r="23" spans="2:24" x14ac:dyDescent="0.3">
      <c r="D23" s="5" t="s">
        <v>31</v>
      </c>
      <c r="E23" s="5">
        <v>16340</v>
      </c>
      <c r="H23" s="5" t="s">
        <v>7</v>
      </c>
      <c r="I23" s="5" t="s">
        <v>25</v>
      </c>
      <c r="J23" s="5" t="s">
        <v>48</v>
      </c>
      <c r="L23" s="5" t="s">
        <v>52</v>
      </c>
      <c r="M23" s="5">
        <v>141</v>
      </c>
      <c r="O23" s="7">
        <v>2438230.125270857</v>
      </c>
      <c r="P23" s="7"/>
      <c r="Q23" s="7">
        <v>2292599.09</v>
      </c>
      <c r="R23" s="7">
        <v>458519.81799999997</v>
      </c>
      <c r="S23" s="7"/>
      <c r="T23" s="7"/>
      <c r="U23" s="7">
        <f>Tabla1[[#This Row],[Cubicaciones]]</f>
        <v>0</v>
      </c>
      <c r="V23" s="7">
        <f>Tabla1[[#This Row],[Avance 20%]]+Tabla1[[#This Row],[Total Cubicado]]</f>
        <v>458519.81799999997</v>
      </c>
      <c r="W23" s="5" t="s">
        <v>33</v>
      </c>
      <c r="X23" s="17">
        <f>Tabla1[[#This Row],[TOTAL PAGADO]]/Tabla1[[#This Row],[Monto Adjudicado]]*100%</f>
        <v>0.2</v>
      </c>
    </row>
    <row r="24" spans="2:24" x14ac:dyDescent="0.3">
      <c r="D24" s="5" t="s">
        <v>31</v>
      </c>
      <c r="E24" s="5">
        <v>16340</v>
      </c>
      <c r="H24" s="5" t="s">
        <v>7</v>
      </c>
      <c r="I24" s="5" t="s">
        <v>25</v>
      </c>
      <c r="J24" s="5" t="s">
        <v>48</v>
      </c>
      <c r="L24" s="5" t="s">
        <v>53</v>
      </c>
      <c r="M24" s="5">
        <v>30</v>
      </c>
      <c r="O24" s="7">
        <v>388955.64060050389</v>
      </c>
      <c r="P24" s="7"/>
      <c r="Q24" s="7">
        <v>404519.67</v>
      </c>
      <c r="R24" s="7">
        <v>80903.934000000008</v>
      </c>
      <c r="S24" s="7"/>
      <c r="T24" s="7"/>
      <c r="U24" s="7">
        <f>Tabla1[[#This Row],[Cubicaciones]]</f>
        <v>0</v>
      </c>
      <c r="V24" s="7">
        <f>Tabla1[[#This Row],[Avance 20%]]+Tabla1[[#This Row],[Total Cubicado]]</f>
        <v>80903.934000000008</v>
      </c>
      <c r="W24" s="5" t="s">
        <v>33</v>
      </c>
      <c r="X24" s="17">
        <f>Tabla1[[#This Row],[TOTAL PAGADO]]/Tabla1[[#This Row],[Monto Adjudicado]]*100%</f>
        <v>0.20000000000000004</v>
      </c>
    </row>
    <row r="25" spans="2:24" x14ac:dyDescent="0.3">
      <c r="D25" s="5" t="s">
        <v>31</v>
      </c>
      <c r="E25" s="5">
        <v>16340</v>
      </c>
      <c r="H25" s="5" t="s">
        <v>7</v>
      </c>
      <c r="I25" s="5" t="s">
        <v>25</v>
      </c>
      <c r="J25" s="5" t="s">
        <v>48</v>
      </c>
      <c r="L25" s="5" t="s">
        <v>54</v>
      </c>
      <c r="M25" s="5">
        <v>30</v>
      </c>
      <c r="O25" s="7">
        <v>342061.56774935964</v>
      </c>
      <c r="P25" s="7"/>
      <c r="Q25" s="7">
        <v>360198.56</v>
      </c>
      <c r="R25" s="7">
        <v>72039.712</v>
      </c>
      <c r="S25" s="7"/>
      <c r="T25" s="7"/>
      <c r="U25" s="7">
        <f>Tabla1[[#This Row],[Cubicaciones]]</f>
        <v>0</v>
      </c>
      <c r="V25" s="7">
        <f>Tabla1[[#This Row],[Avance 20%]]+Tabla1[[#This Row],[Total Cubicado]]</f>
        <v>72039.712</v>
      </c>
      <c r="W25" s="5" t="s">
        <v>33</v>
      </c>
      <c r="X25" s="17">
        <f>Tabla1[[#This Row],[TOTAL PAGADO]]/Tabla1[[#This Row],[Monto Adjudicado]]*100%</f>
        <v>0.2</v>
      </c>
    </row>
    <row r="26" spans="2:24" x14ac:dyDescent="0.3">
      <c r="B26" s="5" t="s">
        <v>55</v>
      </c>
      <c r="C26" s="5">
        <v>2025</v>
      </c>
      <c r="D26" s="5" t="s">
        <v>31</v>
      </c>
      <c r="E26" s="5">
        <v>16340</v>
      </c>
      <c r="H26" s="5" t="s">
        <v>7</v>
      </c>
      <c r="I26" s="5" t="s">
        <v>25</v>
      </c>
      <c r="J26" s="5" t="s">
        <v>48</v>
      </c>
      <c r="L26" s="5" t="s">
        <v>56</v>
      </c>
      <c r="M26" s="5">
        <v>45</v>
      </c>
      <c r="O26" s="7">
        <v>443175.57263818232</v>
      </c>
      <c r="P26" s="7"/>
      <c r="Q26" s="7">
        <v>453564.99</v>
      </c>
      <c r="R26" s="7">
        <v>90712.998000000007</v>
      </c>
      <c r="S26" s="7"/>
      <c r="T26" s="7"/>
      <c r="U26" s="7">
        <f>Tabla1[[#This Row],[Cubicaciones]]</f>
        <v>0</v>
      </c>
      <c r="V26" s="7">
        <f>Tabla1[[#This Row],[Avance 20%]]+Tabla1[[#This Row],[Total Cubicado]]</f>
        <v>90712.998000000007</v>
      </c>
      <c r="W26" s="5" t="s">
        <v>33</v>
      </c>
      <c r="X26" s="17">
        <f>Tabla1[[#This Row],[TOTAL PAGADO]]/Tabla1[[#This Row],[Monto Adjudicado]]*100%</f>
        <v>0.2</v>
      </c>
    </row>
    <row r="27" spans="2:24" x14ac:dyDescent="0.3">
      <c r="B27" s="5" t="s">
        <v>55</v>
      </c>
      <c r="C27" s="5">
        <v>2025</v>
      </c>
      <c r="D27" s="5" t="s">
        <v>31</v>
      </c>
      <c r="E27" s="5">
        <v>16340</v>
      </c>
      <c r="H27" s="5" t="s">
        <v>7</v>
      </c>
      <c r="I27" s="5" t="s">
        <v>25</v>
      </c>
      <c r="J27" s="5" t="s">
        <v>48</v>
      </c>
      <c r="L27" s="5" t="s">
        <v>57</v>
      </c>
      <c r="M27" s="5">
        <v>60</v>
      </c>
      <c r="O27" s="7">
        <v>699425.0025822859</v>
      </c>
      <c r="P27" s="7"/>
      <c r="Q27" s="7">
        <v>717370.34</v>
      </c>
      <c r="R27" s="7">
        <v>143474.068</v>
      </c>
      <c r="S27" s="7"/>
      <c r="T27" s="7"/>
      <c r="U27" s="7">
        <f>Tabla1[[#This Row],[Cubicaciones]]</f>
        <v>0</v>
      </c>
      <c r="V27" s="7">
        <f>Tabla1[[#This Row],[Avance 20%]]+Tabla1[[#This Row],[Total Cubicado]]</f>
        <v>143474.068</v>
      </c>
      <c r="W27" s="5" t="s">
        <v>33</v>
      </c>
      <c r="X27" s="17">
        <f>Tabla1[[#This Row],[TOTAL PAGADO]]/Tabla1[[#This Row],[Monto Adjudicado]]*100%</f>
        <v>0.2</v>
      </c>
    </row>
    <row r="28" spans="2:24" x14ac:dyDescent="0.3">
      <c r="B28" s="5" t="s">
        <v>55</v>
      </c>
      <c r="C28" s="5">
        <v>2025</v>
      </c>
      <c r="D28" s="5" t="s">
        <v>31</v>
      </c>
      <c r="E28" s="5">
        <v>16340</v>
      </c>
      <c r="H28" s="5" t="s">
        <v>7</v>
      </c>
      <c r="I28" s="5" t="s">
        <v>25</v>
      </c>
      <c r="J28" s="5" t="s">
        <v>48</v>
      </c>
      <c r="L28" s="5" t="s">
        <v>58</v>
      </c>
      <c r="M28" s="5">
        <v>45</v>
      </c>
      <c r="O28" s="7">
        <v>167892.06160215902</v>
      </c>
      <c r="P28" s="7"/>
      <c r="Q28" s="7">
        <v>180968.24</v>
      </c>
      <c r="R28" s="7">
        <v>36193.648000000001</v>
      </c>
      <c r="S28" s="7"/>
      <c r="T28" s="7"/>
      <c r="U28" s="7">
        <f>Tabla1[[#This Row],[Cubicaciones]]</f>
        <v>0</v>
      </c>
      <c r="V28" s="7">
        <f>Tabla1[[#This Row],[Avance 20%]]+Tabla1[[#This Row],[Total Cubicado]]</f>
        <v>36193.648000000001</v>
      </c>
      <c r="W28" s="5" t="s">
        <v>33</v>
      </c>
      <c r="X28" s="17">
        <f>Tabla1[[#This Row],[TOTAL PAGADO]]/Tabla1[[#This Row],[Monto Adjudicado]]*100%</f>
        <v>0.2</v>
      </c>
    </row>
    <row r="29" spans="2:24" x14ac:dyDescent="0.3">
      <c r="B29" s="5" t="s">
        <v>55</v>
      </c>
      <c r="C29" s="5">
        <v>2025</v>
      </c>
      <c r="D29" s="5" t="s">
        <v>31</v>
      </c>
      <c r="E29" s="5">
        <v>16340</v>
      </c>
      <c r="H29" s="5" t="s">
        <v>7</v>
      </c>
      <c r="I29" s="5" t="s">
        <v>25</v>
      </c>
      <c r="J29" s="5" t="s">
        <v>48</v>
      </c>
      <c r="L29" s="5" t="s">
        <v>59</v>
      </c>
      <c r="M29" s="5">
        <v>147</v>
      </c>
      <c r="O29" s="7">
        <v>2478584.5621000337</v>
      </c>
      <c r="P29" s="7"/>
      <c r="Q29" s="7">
        <v>2414870.65</v>
      </c>
      <c r="R29" s="7">
        <v>482974.13</v>
      </c>
      <c r="S29" s="7"/>
      <c r="T29" s="7"/>
      <c r="U29" s="7">
        <f>Tabla1[[#This Row],[Cubicaciones]]</f>
        <v>0</v>
      </c>
      <c r="V29" s="7">
        <f>Tabla1[[#This Row],[Avance 20%]]+Tabla1[[#This Row],[Total Cubicado]]</f>
        <v>482974.13</v>
      </c>
      <c r="W29" s="5" t="s">
        <v>33</v>
      </c>
      <c r="X29" s="17">
        <f>Tabla1[[#This Row],[TOTAL PAGADO]]/Tabla1[[#This Row],[Monto Adjudicado]]*100%</f>
        <v>0.2</v>
      </c>
    </row>
    <row r="30" spans="2:24" x14ac:dyDescent="0.3">
      <c r="B30" s="5" t="s">
        <v>55</v>
      </c>
      <c r="C30" s="5">
        <v>2025</v>
      </c>
      <c r="D30" s="5" t="s">
        <v>31</v>
      </c>
      <c r="E30" s="5">
        <v>16340</v>
      </c>
      <c r="H30" s="5" t="s">
        <v>7</v>
      </c>
      <c r="I30" s="5" t="s">
        <v>25</v>
      </c>
      <c r="J30" s="5" t="s">
        <v>60</v>
      </c>
      <c r="L30" s="5" t="s">
        <v>61</v>
      </c>
      <c r="M30" s="5">
        <v>129</v>
      </c>
      <c r="O30" s="7">
        <v>957992.1913005003</v>
      </c>
      <c r="P30" s="7"/>
      <c r="Q30" s="7">
        <v>924528.92</v>
      </c>
      <c r="R30" s="7">
        <v>184905.78400000001</v>
      </c>
      <c r="S30" s="7"/>
      <c r="T30" s="7"/>
      <c r="U30" s="7">
        <f>Tabla1[[#This Row],[Cubicaciones]]</f>
        <v>0</v>
      </c>
      <c r="V30" s="7">
        <f>Tabla1[[#This Row],[Avance 20%]]+Tabla1[[#This Row],[Total Cubicado]]</f>
        <v>184905.78400000001</v>
      </c>
      <c r="W30" s="5" t="s">
        <v>33</v>
      </c>
      <c r="X30" s="17">
        <f>Tabla1[[#This Row],[TOTAL PAGADO]]/Tabla1[[#This Row],[Monto Adjudicado]]*100%</f>
        <v>0.2</v>
      </c>
    </row>
    <row r="31" spans="2:24" x14ac:dyDescent="0.3">
      <c r="B31" s="5" t="s">
        <v>55</v>
      </c>
      <c r="C31" s="5">
        <v>2025</v>
      </c>
      <c r="D31" s="5" t="s">
        <v>31</v>
      </c>
      <c r="E31" s="5">
        <v>16340</v>
      </c>
      <c r="H31" s="5" t="s">
        <v>7</v>
      </c>
      <c r="I31" s="5" t="s">
        <v>25</v>
      </c>
      <c r="J31" s="5" t="s">
        <v>60</v>
      </c>
      <c r="L31" s="5" t="s">
        <v>62</v>
      </c>
      <c r="M31" s="5">
        <v>105</v>
      </c>
      <c r="O31" s="7">
        <v>895601.91391050024</v>
      </c>
      <c r="P31" s="7"/>
      <c r="Q31" s="7">
        <v>849850.88</v>
      </c>
      <c r="R31" s="7">
        <v>169970.17600000001</v>
      </c>
      <c r="S31" s="7"/>
      <c r="T31" s="7"/>
      <c r="U31" s="7">
        <f>Tabla1[[#This Row],[Cubicaciones]]</f>
        <v>0</v>
      </c>
      <c r="V31" s="7">
        <f>Tabla1[[#This Row],[Avance 20%]]+Tabla1[[#This Row],[Total Cubicado]]</f>
        <v>169970.17600000001</v>
      </c>
      <c r="W31" s="5" t="s">
        <v>33</v>
      </c>
      <c r="X31" s="17">
        <f>Tabla1[[#This Row],[TOTAL PAGADO]]/Tabla1[[#This Row],[Monto Adjudicado]]*100%</f>
        <v>0.2</v>
      </c>
    </row>
    <row r="32" spans="2:24" x14ac:dyDescent="0.3">
      <c r="B32" s="5" t="s">
        <v>55</v>
      </c>
      <c r="C32" s="5">
        <v>2025</v>
      </c>
      <c r="D32" s="5" t="s">
        <v>31</v>
      </c>
      <c r="E32" s="5">
        <v>16340</v>
      </c>
      <c r="H32" s="5" t="s">
        <v>7</v>
      </c>
      <c r="I32" s="5" t="s">
        <v>25</v>
      </c>
      <c r="J32" s="5" t="s">
        <v>60</v>
      </c>
      <c r="L32" s="5" t="s">
        <v>63</v>
      </c>
      <c r="M32" s="5">
        <v>75</v>
      </c>
      <c r="O32" s="7">
        <v>668232.31271615904</v>
      </c>
      <c r="P32" s="7"/>
      <c r="Q32" s="7">
        <v>667632.81000000006</v>
      </c>
      <c r="R32" s="7">
        <v>133526.56200000001</v>
      </c>
      <c r="S32" s="7"/>
      <c r="T32" s="7"/>
      <c r="U32" s="7">
        <f>Tabla1[[#This Row],[Cubicaciones]]</f>
        <v>0</v>
      </c>
      <c r="V32" s="7">
        <f>Tabla1[[#This Row],[Avance 20%]]+Tabla1[[#This Row],[Total Cubicado]]</f>
        <v>133526.56200000001</v>
      </c>
      <c r="W32" s="5" t="s">
        <v>33</v>
      </c>
      <c r="X32" s="17">
        <f>Tabla1[[#This Row],[TOTAL PAGADO]]/Tabla1[[#This Row],[Monto Adjudicado]]*100%</f>
        <v>0.19999999999999998</v>
      </c>
    </row>
    <row r="33" spans="2:24" x14ac:dyDescent="0.3">
      <c r="B33" s="5" t="s">
        <v>55</v>
      </c>
      <c r="C33" s="5">
        <v>2025</v>
      </c>
      <c r="D33" s="5" t="s">
        <v>31</v>
      </c>
      <c r="E33" s="5">
        <v>16340</v>
      </c>
      <c r="H33" s="5" t="s">
        <v>7</v>
      </c>
      <c r="I33" s="5" t="s">
        <v>25</v>
      </c>
      <c r="J33" s="5" t="s">
        <v>60</v>
      </c>
      <c r="L33" s="5" t="s">
        <v>64</v>
      </c>
      <c r="M33" s="5">
        <v>45</v>
      </c>
      <c r="O33" s="7">
        <v>281073.73719675053</v>
      </c>
      <c r="P33" s="7"/>
      <c r="Q33" s="7">
        <v>287159.2</v>
      </c>
      <c r="R33" s="7">
        <v>57431.840000000004</v>
      </c>
      <c r="S33" s="7"/>
      <c r="T33" s="7"/>
      <c r="U33" s="7">
        <f>Tabla1[[#This Row],[Cubicaciones]]</f>
        <v>0</v>
      </c>
      <c r="V33" s="7">
        <f>Tabla1[[#This Row],[Avance 20%]]+Tabla1[[#This Row],[Total Cubicado]]</f>
        <v>57431.840000000004</v>
      </c>
      <c r="W33" s="5" t="s">
        <v>33</v>
      </c>
      <c r="X33" s="17">
        <f>Tabla1[[#This Row],[TOTAL PAGADO]]/Tabla1[[#This Row],[Monto Adjudicado]]*100%</f>
        <v>0.2</v>
      </c>
    </row>
    <row r="34" spans="2:24" x14ac:dyDescent="0.3">
      <c r="B34" s="5" t="s">
        <v>55</v>
      </c>
      <c r="C34" s="5">
        <v>2025</v>
      </c>
      <c r="D34" s="5" t="s">
        <v>31</v>
      </c>
      <c r="E34" s="5">
        <v>16340</v>
      </c>
      <c r="H34" s="5" t="s">
        <v>7</v>
      </c>
      <c r="I34" s="5" t="s">
        <v>25</v>
      </c>
      <c r="J34" s="5" t="s">
        <v>60</v>
      </c>
      <c r="L34" s="5" t="s">
        <v>65</v>
      </c>
      <c r="M34" s="5">
        <v>90</v>
      </c>
      <c r="O34" s="7">
        <v>850618.86</v>
      </c>
      <c r="P34" s="7"/>
      <c r="Q34" s="7">
        <v>629687.72</v>
      </c>
      <c r="R34" s="7">
        <v>125937.54399999999</v>
      </c>
      <c r="S34" s="7"/>
      <c r="T34" s="7"/>
      <c r="U34" s="7">
        <f>Tabla1[[#This Row],[Cubicaciones]]</f>
        <v>0</v>
      </c>
      <c r="V34" s="7">
        <f>Tabla1[[#This Row],[Avance 20%]]+Tabla1[[#This Row],[Total Cubicado]]</f>
        <v>125937.54399999999</v>
      </c>
      <c r="W34" s="5" t="s">
        <v>33</v>
      </c>
      <c r="X34" s="17">
        <f>Tabla1[[#This Row],[TOTAL PAGADO]]/Tabla1[[#This Row],[Monto Adjudicado]]*100%</f>
        <v>0.2</v>
      </c>
    </row>
    <row r="35" spans="2:24" x14ac:dyDescent="0.3">
      <c r="B35" s="5" t="s">
        <v>55</v>
      </c>
      <c r="C35" s="5">
        <v>2025</v>
      </c>
      <c r="D35" s="5" t="s">
        <v>31</v>
      </c>
      <c r="E35" s="5">
        <v>16340</v>
      </c>
      <c r="H35" s="5" t="s">
        <v>7</v>
      </c>
      <c r="I35" s="5" t="s">
        <v>25</v>
      </c>
      <c r="J35" s="5" t="s">
        <v>60</v>
      </c>
      <c r="L35" s="5" t="s">
        <v>66</v>
      </c>
      <c r="M35" s="5">
        <v>84</v>
      </c>
      <c r="O35" s="7">
        <v>312637.96000000002</v>
      </c>
      <c r="P35" s="7"/>
      <c r="Q35" s="7">
        <v>319546.39</v>
      </c>
      <c r="R35" s="7">
        <v>63909.278000000006</v>
      </c>
      <c r="S35" s="7"/>
      <c r="T35" s="7"/>
      <c r="U35" s="7">
        <f>Tabla1[[#This Row],[Cubicaciones]]</f>
        <v>0</v>
      </c>
      <c r="V35" s="7">
        <f>Tabla1[[#This Row],[Avance 20%]]+Tabla1[[#This Row],[Total Cubicado]]</f>
        <v>63909.278000000006</v>
      </c>
      <c r="W35" s="5" t="s">
        <v>33</v>
      </c>
      <c r="X35" s="17">
        <f>Tabla1[[#This Row],[TOTAL PAGADO]]/Tabla1[[#This Row],[Monto Adjudicado]]*100%</f>
        <v>0.2</v>
      </c>
    </row>
    <row r="36" spans="2:24" x14ac:dyDescent="0.3">
      <c r="B36" s="5" t="s">
        <v>55</v>
      </c>
      <c r="C36" s="5">
        <v>2025</v>
      </c>
      <c r="D36" s="5" t="s">
        <v>31</v>
      </c>
      <c r="E36" s="5">
        <v>16340</v>
      </c>
      <c r="H36" s="5" t="s">
        <v>7</v>
      </c>
      <c r="I36" s="5" t="s">
        <v>25</v>
      </c>
      <c r="J36" s="5" t="s">
        <v>20</v>
      </c>
      <c r="L36" s="5" t="s">
        <v>67</v>
      </c>
      <c r="M36" s="5">
        <v>72</v>
      </c>
      <c r="O36" s="7">
        <v>324818.65999999997</v>
      </c>
      <c r="P36" s="7"/>
      <c r="Q36" s="7">
        <v>315184.11</v>
      </c>
      <c r="R36" s="7">
        <v>63036.822</v>
      </c>
      <c r="S36" s="7"/>
      <c r="T36" s="7"/>
      <c r="U36" s="7">
        <f>Tabla1[[#This Row],[Cubicaciones]]</f>
        <v>0</v>
      </c>
      <c r="V36" s="7">
        <f>Tabla1[[#This Row],[Avance 20%]]+Tabla1[[#This Row],[Total Cubicado]]</f>
        <v>63036.822</v>
      </c>
      <c r="W36" s="5" t="s">
        <v>33</v>
      </c>
      <c r="X36" s="17">
        <f>Tabla1[[#This Row],[TOTAL PAGADO]]/Tabla1[[#This Row],[Monto Adjudicado]]*100%</f>
        <v>0.2</v>
      </c>
    </row>
    <row r="37" spans="2:24" x14ac:dyDescent="0.3">
      <c r="B37" s="5" t="s">
        <v>55</v>
      </c>
      <c r="C37" s="5">
        <v>2025</v>
      </c>
      <c r="D37" s="5" t="s">
        <v>31</v>
      </c>
      <c r="E37" s="5">
        <v>16340</v>
      </c>
      <c r="H37" s="5" t="s">
        <v>7</v>
      </c>
      <c r="I37" s="5" t="s">
        <v>25</v>
      </c>
      <c r="J37" s="5" t="s">
        <v>20</v>
      </c>
      <c r="L37" s="5" t="s">
        <v>68</v>
      </c>
      <c r="M37" s="5">
        <v>105</v>
      </c>
      <c r="O37" s="7">
        <v>629336.15</v>
      </c>
      <c r="P37" s="7"/>
      <c r="Q37" s="7">
        <v>518507.36</v>
      </c>
      <c r="R37" s="7">
        <v>103701.47200000001</v>
      </c>
      <c r="S37" s="7"/>
      <c r="T37" s="7"/>
      <c r="U37" s="7">
        <f>Tabla1[[#This Row],[Cubicaciones]]</f>
        <v>0</v>
      </c>
      <c r="V37" s="7">
        <f>Tabla1[[#This Row],[Avance 20%]]+Tabla1[[#This Row],[Total Cubicado]]</f>
        <v>103701.47200000001</v>
      </c>
      <c r="W37" s="5" t="s">
        <v>33</v>
      </c>
      <c r="X37" s="17">
        <f>Tabla1[[#This Row],[TOTAL PAGADO]]/Tabla1[[#This Row],[Monto Adjudicado]]*100%</f>
        <v>0.2</v>
      </c>
    </row>
    <row r="38" spans="2:24" x14ac:dyDescent="0.3">
      <c r="B38" s="5" t="s">
        <v>55</v>
      </c>
      <c r="C38" s="5">
        <v>2025</v>
      </c>
      <c r="D38" s="5" t="s">
        <v>31</v>
      </c>
      <c r="E38" s="5">
        <v>16340</v>
      </c>
      <c r="H38" s="5" t="s">
        <v>7</v>
      </c>
      <c r="I38" s="5" t="s">
        <v>25</v>
      </c>
      <c r="J38" s="5" t="s">
        <v>20</v>
      </c>
      <c r="K38" s="5" t="s">
        <v>69</v>
      </c>
      <c r="L38" s="5" t="s">
        <v>70</v>
      </c>
      <c r="M38" s="5">
        <v>45</v>
      </c>
      <c r="O38" s="7">
        <v>1627351.3515180494</v>
      </c>
      <c r="P38" s="7"/>
      <c r="Q38" s="7">
        <v>1497413.99</v>
      </c>
      <c r="R38" s="7">
        <v>299482.79800000001</v>
      </c>
      <c r="S38" s="7"/>
      <c r="T38" s="7"/>
      <c r="U38" s="7">
        <f>Tabla1[[#This Row],[Cubicaciones]]</f>
        <v>0</v>
      </c>
      <c r="V38" s="7">
        <f>Tabla1[[#This Row],[Avance 20%]]+Tabla1[[#This Row],[Total Cubicado]]</f>
        <v>299482.79800000001</v>
      </c>
      <c r="W38" s="5" t="s">
        <v>33</v>
      </c>
      <c r="X38" s="17">
        <f>Tabla1[[#This Row],[TOTAL PAGADO]]/Tabla1[[#This Row],[Monto Adjudicado]]*100%</f>
        <v>0.2</v>
      </c>
    </row>
    <row r="39" spans="2:24" x14ac:dyDescent="0.3">
      <c r="B39" s="5" t="s">
        <v>55</v>
      </c>
      <c r="C39" s="5">
        <v>2025</v>
      </c>
      <c r="D39" s="5" t="s">
        <v>31</v>
      </c>
      <c r="E39" s="5">
        <v>16340</v>
      </c>
      <c r="H39" s="5" t="s">
        <v>7</v>
      </c>
      <c r="I39" s="5" t="s">
        <v>25</v>
      </c>
      <c r="J39" s="5" t="s">
        <v>20</v>
      </c>
      <c r="K39" s="5" t="s">
        <v>69</v>
      </c>
      <c r="L39" s="5" t="s">
        <v>71</v>
      </c>
      <c r="M39" s="5">
        <v>102</v>
      </c>
      <c r="O39" s="7">
        <v>1072948.3634031347</v>
      </c>
      <c r="P39" s="7"/>
      <c r="Q39" s="7">
        <v>1022677.26</v>
      </c>
      <c r="R39" s="7">
        <v>204535.45200000002</v>
      </c>
      <c r="S39" s="7"/>
      <c r="T39" s="7"/>
      <c r="U39" s="7">
        <f>Tabla1[[#This Row],[Cubicaciones]]</f>
        <v>0</v>
      </c>
      <c r="V39" s="7">
        <f>Tabla1[[#This Row],[Avance 20%]]+Tabla1[[#This Row],[Total Cubicado]]</f>
        <v>204535.45200000002</v>
      </c>
      <c r="W39" s="5" t="s">
        <v>33</v>
      </c>
      <c r="X39" s="17">
        <f>Tabla1[[#This Row],[TOTAL PAGADO]]/Tabla1[[#This Row],[Monto Adjudicado]]*100%</f>
        <v>0.2</v>
      </c>
    </row>
    <row r="40" spans="2:24" x14ac:dyDescent="0.3">
      <c r="B40" s="5" t="s">
        <v>55</v>
      </c>
      <c r="C40" s="5">
        <v>2025</v>
      </c>
      <c r="D40" s="5" t="s">
        <v>31</v>
      </c>
      <c r="E40" s="5">
        <v>16340</v>
      </c>
      <c r="H40" s="5" t="s">
        <v>7</v>
      </c>
      <c r="I40" s="5" t="s">
        <v>25</v>
      </c>
      <c r="J40" s="5" t="s">
        <v>20</v>
      </c>
      <c r="K40" s="5" t="s">
        <v>69</v>
      </c>
      <c r="L40" s="5" t="s">
        <v>72</v>
      </c>
      <c r="M40" s="5">
        <v>156</v>
      </c>
      <c r="O40" s="7">
        <v>1076598.1320566735</v>
      </c>
      <c r="P40" s="7"/>
      <c r="Q40" s="7">
        <v>1055057.5</v>
      </c>
      <c r="R40" s="7">
        <v>211011.5</v>
      </c>
      <c r="S40" s="7"/>
      <c r="T40" s="7"/>
      <c r="U40" s="7">
        <f>Tabla1[[#This Row],[Cubicaciones]]</f>
        <v>0</v>
      </c>
      <c r="V40" s="7">
        <f>Tabla1[[#This Row],[Avance 20%]]+Tabla1[[#This Row],[Total Cubicado]]</f>
        <v>211011.5</v>
      </c>
      <c r="W40" s="5" t="s">
        <v>33</v>
      </c>
      <c r="X40" s="17">
        <f>Tabla1[[#This Row],[TOTAL PAGADO]]/Tabla1[[#This Row],[Monto Adjudicado]]*100%</f>
        <v>0.2</v>
      </c>
    </row>
    <row r="41" spans="2:24" x14ac:dyDescent="0.3">
      <c r="B41" s="5" t="s">
        <v>55</v>
      </c>
      <c r="C41" s="5">
        <v>2025</v>
      </c>
      <c r="D41" s="5" t="s">
        <v>31</v>
      </c>
      <c r="E41" s="5">
        <v>16340</v>
      </c>
      <c r="H41" s="5" t="s">
        <v>7</v>
      </c>
      <c r="I41" s="5" t="s">
        <v>25</v>
      </c>
      <c r="J41" s="5" t="s">
        <v>20</v>
      </c>
      <c r="K41" s="5" t="s">
        <v>69</v>
      </c>
      <c r="L41" s="5" t="s">
        <v>73</v>
      </c>
      <c r="M41" s="5">
        <v>72</v>
      </c>
      <c r="O41" s="7">
        <v>834714.98173539888</v>
      </c>
      <c r="P41" s="7"/>
      <c r="Q41" s="7">
        <v>855470.4</v>
      </c>
      <c r="R41" s="7">
        <v>171094.08000000002</v>
      </c>
      <c r="S41" s="7"/>
      <c r="T41" s="7"/>
      <c r="U41" s="7">
        <f>Tabla1[[#This Row],[Cubicaciones]]</f>
        <v>0</v>
      </c>
      <c r="V41" s="7">
        <f>Tabla1[[#This Row],[Avance 20%]]+Tabla1[[#This Row],[Total Cubicado]]</f>
        <v>171094.08000000002</v>
      </c>
      <c r="W41" s="5" t="s">
        <v>33</v>
      </c>
      <c r="X41" s="17">
        <f>Tabla1[[#This Row],[TOTAL PAGADO]]/Tabla1[[#This Row],[Monto Adjudicado]]*100%</f>
        <v>0.2</v>
      </c>
    </row>
    <row r="42" spans="2:24" x14ac:dyDescent="0.3">
      <c r="B42" s="5" t="s">
        <v>55</v>
      </c>
      <c r="C42" s="5">
        <v>2025</v>
      </c>
      <c r="D42" s="5" t="s">
        <v>31</v>
      </c>
      <c r="E42" s="5">
        <v>16340</v>
      </c>
      <c r="H42" s="5" t="s">
        <v>7</v>
      </c>
      <c r="I42" s="5" t="s">
        <v>25</v>
      </c>
      <c r="J42" s="5" t="s">
        <v>20</v>
      </c>
      <c r="K42" s="5" t="s">
        <v>74</v>
      </c>
      <c r="L42" s="5" t="s">
        <v>75</v>
      </c>
      <c r="M42" s="5">
        <v>78</v>
      </c>
      <c r="O42" s="7">
        <v>477077.4</v>
      </c>
      <c r="P42" s="7"/>
      <c r="Q42" s="7">
        <v>406995.03</v>
      </c>
      <c r="R42" s="7">
        <v>81399.006000000008</v>
      </c>
      <c r="S42" s="7"/>
      <c r="T42" s="7"/>
      <c r="U42" s="7">
        <f>Tabla1[[#This Row],[Cubicaciones]]</f>
        <v>0</v>
      </c>
      <c r="V42" s="7">
        <f>Tabla1[[#This Row],[Avance 20%]]+Tabla1[[#This Row],[Total Cubicado]]</f>
        <v>81399.006000000008</v>
      </c>
      <c r="W42" s="5" t="s">
        <v>33</v>
      </c>
      <c r="X42" s="17">
        <f>Tabla1[[#This Row],[TOTAL PAGADO]]/Tabla1[[#This Row],[Monto Adjudicado]]*100%</f>
        <v>0.2</v>
      </c>
    </row>
    <row r="43" spans="2:24" x14ac:dyDescent="0.3">
      <c r="B43" s="5" t="s">
        <v>55</v>
      </c>
      <c r="C43" s="5">
        <v>2025</v>
      </c>
      <c r="D43" s="5" t="s">
        <v>31</v>
      </c>
      <c r="E43" s="5">
        <v>16340</v>
      </c>
      <c r="H43" s="5" t="s">
        <v>7</v>
      </c>
      <c r="I43" s="5" t="s">
        <v>25</v>
      </c>
      <c r="J43" s="5" t="s">
        <v>20</v>
      </c>
      <c r="K43" s="5" t="s">
        <v>76</v>
      </c>
      <c r="L43" s="5" t="s">
        <v>77</v>
      </c>
      <c r="M43" s="5">
        <v>75</v>
      </c>
      <c r="O43" s="7">
        <v>203011.66</v>
      </c>
      <c r="P43" s="7"/>
      <c r="Q43" s="7">
        <v>249051.6</v>
      </c>
      <c r="R43" s="7">
        <v>49810.320000000007</v>
      </c>
      <c r="S43" s="7"/>
      <c r="T43" s="7"/>
      <c r="U43" s="7">
        <f>Tabla1[[#This Row],[Cubicaciones]]</f>
        <v>0</v>
      </c>
      <c r="V43" s="7">
        <f>Tabla1[[#This Row],[Avance 20%]]+Tabla1[[#This Row],[Total Cubicado]]</f>
        <v>49810.320000000007</v>
      </c>
      <c r="W43" s="5" t="s">
        <v>33</v>
      </c>
      <c r="X43" s="17">
        <f>Tabla1[[#This Row],[TOTAL PAGADO]]/Tabla1[[#This Row],[Monto Adjudicado]]*100%</f>
        <v>0.2</v>
      </c>
    </row>
    <row r="44" spans="2:24" x14ac:dyDescent="0.3">
      <c r="B44" s="5" t="s">
        <v>55</v>
      </c>
      <c r="C44" s="5">
        <v>2025</v>
      </c>
      <c r="D44" s="5" t="s">
        <v>31</v>
      </c>
      <c r="E44" s="5">
        <v>16340</v>
      </c>
      <c r="H44" s="5" t="s">
        <v>7</v>
      </c>
      <c r="I44" s="5" t="s">
        <v>25</v>
      </c>
      <c r="J44" s="5" t="s">
        <v>20</v>
      </c>
      <c r="K44" s="5" t="s">
        <v>76</v>
      </c>
      <c r="L44" s="5" t="s">
        <v>78</v>
      </c>
      <c r="M44" s="5">
        <v>48</v>
      </c>
      <c r="O44" s="7">
        <v>152258.75</v>
      </c>
      <c r="P44" s="7"/>
      <c r="Q44" s="7">
        <v>194994.46</v>
      </c>
      <c r="R44" s="7">
        <v>38998.892</v>
      </c>
      <c r="S44" s="7"/>
      <c r="T44" s="7"/>
      <c r="U44" s="7">
        <f>Tabla1[[#This Row],[Cubicaciones]]</f>
        <v>0</v>
      </c>
      <c r="V44" s="7">
        <f>Tabla1[[#This Row],[Avance 20%]]+Tabla1[[#This Row],[Total Cubicado]]</f>
        <v>38998.892</v>
      </c>
      <c r="W44" s="5" t="s">
        <v>33</v>
      </c>
      <c r="X44" s="17">
        <f>Tabla1[[#This Row],[TOTAL PAGADO]]/Tabla1[[#This Row],[Monto Adjudicado]]*100%</f>
        <v>0.2</v>
      </c>
    </row>
    <row r="45" spans="2:24" x14ac:dyDescent="0.3">
      <c r="B45" s="5" t="s">
        <v>55</v>
      </c>
      <c r="C45" s="5">
        <v>2025</v>
      </c>
      <c r="D45" s="5" t="s">
        <v>31</v>
      </c>
      <c r="E45" s="5">
        <v>16340</v>
      </c>
      <c r="H45" s="5" t="s">
        <v>7</v>
      </c>
      <c r="I45" s="5" t="s">
        <v>25</v>
      </c>
      <c r="J45" s="5" t="s">
        <v>20</v>
      </c>
      <c r="K45" s="5" t="s">
        <v>76</v>
      </c>
      <c r="L45" s="5" t="s">
        <v>79</v>
      </c>
      <c r="M45" s="5">
        <v>57</v>
      </c>
      <c r="O45" s="7">
        <v>314668.07</v>
      </c>
      <c r="P45" s="7"/>
      <c r="Q45" s="7">
        <v>295365.96000000002</v>
      </c>
      <c r="R45" s="7">
        <v>59073.19200000001</v>
      </c>
      <c r="S45" s="7"/>
      <c r="T45" s="7"/>
      <c r="U45" s="7">
        <f>Tabla1[[#This Row],[Cubicaciones]]</f>
        <v>0</v>
      </c>
      <c r="V45" s="7">
        <f>Tabla1[[#This Row],[Avance 20%]]+Tabla1[[#This Row],[Total Cubicado]]</f>
        <v>59073.19200000001</v>
      </c>
      <c r="W45" s="5" t="s">
        <v>33</v>
      </c>
      <c r="X45" s="17">
        <f>Tabla1[[#This Row],[TOTAL PAGADO]]/Tabla1[[#This Row],[Monto Adjudicado]]*100%</f>
        <v>0.2</v>
      </c>
    </row>
    <row r="46" spans="2:24" x14ac:dyDescent="0.3">
      <c r="B46" s="5" t="s">
        <v>55</v>
      </c>
      <c r="C46" s="5">
        <v>2025</v>
      </c>
      <c r="D46" s="5" t="s">
        <v>31</v>
      </c>
      <c r="E46" s="5">
        <v>16340</v>
      </c>
      <c r="H46" s="5" t="s">
        <v>7</v>
      </c>
      <c r="I46" s="5" t="s">
        <v>25</v>
      </c>
      <c r="J46" s="5" t="s">
        <v>20</v>
      </c>
      <c r="K46" s="5" t="s">
        <v>80</v>
      </c>
      <c r="L46" s="5" t="s">
        <v>81</v>
      </c>
      <c r="M46" s="5">
        <v>108</v>
      </c>
      <c r="O46" s="7">
        <v>507529.15</v>
      </c>
      <c r="P46" s="7"/>
      <c r="Q46" s="7">
        <v>452375.51</v>
      </c>
      <c r="R46" s="7">
        <v>90475.102000000014</v>
      </c>
      <c r="S46" s="7"/>
      <c r="T46" s="7"/>
      <c r="U46" s="7">
        <f>Tabla1[[#This Row],[Cubicaciones]]</f>
        <v>0</v>
      </c>
      <c r="V46" s="7">
        <f>Tabla1[[#This Row],[Avance 20%]]+Tabla1[[#This Row],[Total Cubicado]]</f>
        <v>90475.102000000014</v>
      </c>
      <c r="W46" s="5" t="s">
        <v>33</v>
      </c>
      <c r="X46" s="17">
        <f>Tabla1[[#This Row],[TOTAL PAGADO]]/Tabla1[[#This Row],[Monto Adjudicado]]*100%</f>
        <v>0.20000000000000004</v>
      </c>
    </row>
    <row r="47" spans="2:24" s="8" customFormat="1" x14ac:dyDescent="0.3">
      <c r="B47" s="5"/>
      <c r="C47" s="5"/>
      <c r="D47" s="8" t="s">
        <v>31</v>
      </c>
      <c r="E47" s="8">
        <v>16340</v>
      </c>
      <c r="F47" s="5"/>
      <c r="G47" s="5"/>
      <c r="H47" s="5" t="s">
        <v>7</v>
      </c>
      <c r="I47" s="8" t="s">
        <v>82</v>
      </c>
      <c r="J47" s="8" t="s">
        <v>20</v>
      </c>
      <c r="M47" s="8">
        <v>0</v>
      </c>
      <c r="O47" s="9">
        <v>7334878.373999998</v>
      </c>
      <c r="P47" s="9"/>
      <c r="Q47" s="9">
        <v>7334878.373999998</v>
      </c>
      <c r="R47" s="9">
        <v>0</v>
      </c>
      <c r="S47" s="9">
        <v>5599991.6299999999</v>
      </c>
      <c r="T47" s="9" t="s">
        <v>182</v>
      </c>
      <c r="U47" s="7">
        <f>Tabla1[[#This Row],[Cubicaciones]]</f>
        <v>5599991.6299999999</v>
      </c>
      <c r="V47" s="7">
        <f>Tabla1[[#This Row],[Avance 20%]]+Tabla1[[#This Row],[Total Cubicado]]</f>
        <v>5599991.6299999999</v>
      </c>
      <c r="W47" s="8" t="s">
        <v>33</v>
      </c>
      <c r="X47" s="17">
        <f>Tabla1[[#This Row],[TOTAL PAGADO]]/Tabla1[[#This Row],[Monto Adjudicado]]*100%</f>
        <v>0.76347436787095679</v>
      </c>
    </row>
    <row r="48" spans="2:24" x14ac:dyDescent="0.3">
      <c r="B48" s="5" t="s">
        <v>83</v>
      </c>
      <c r="C48" s="5">
        <v>2024</v>
      </c>
      <c r="D48" s="5" t="s">
        <v>84</v>
      </c>
      <c r="E48" s="5">
        <v>16844</v>
      </c>
      <c r="F48" s="5" t="s">
        <v>85</v>
      </c>
      <c r="G48" s="5">
        <v>1</v>
      </c>
      <c r="H48" s="5" t="s">
        <v>7</v>
      </c>
      <c r="I48" s="5" t="s">
        <v>86</v>
      </c>
      <c r="J48" s="5" t="s">
        <v>20</v>
      </c>
      <c r="K48" s="5" t="s">
        <v>87</v>
      </c>
      <c r="M48" s="5">
        <v>0</v>
      </c>
      <c r="O48" s="7">
        <v>7384540.5599999996</v>
      </c>
      <c r="P48" s="7"/>
      <c r="Q48" s="7">
        <v>5907633.6200000001</v>
      </c>
      <c r="R48" s="7">
        <f>Tabla1[[#This Row],[Monto Adjudicado]]*20%</f>
        <v>1181526.7240000002</v>
      </c>
      <c r="S48" s="7"/>
      <c r="T48" s="7"/>
      <c r="U48" s="7">
        <f>Tabla1[[#This Row],[Cubicaciones]]</f>
        <v>0</v>
      </c>
      <c r="V48" s="7">
        <f>Tabla1[[#This Row],[Avance 20%]]+Tabla1[[#This Row],[Total Cubicado]]</f>
        <v>1181526.7240000002</v>
      </c>
      <c r="W48" s="5" t="s">
        <v>33</v>
      </c>
      <c r="X48" s="17">
        <f>Tabla1[[#This Row],[TOTAL PAGADO]]/Tabla1[[#This Row],[Monto Adjudicado]]*100%</f>
        <v>0.2</v>
      </c>
    </row>
    <row r="49" spans="1:24" x14ac:dyDescent="0.3">
      <c r="B49" s="5" t="s">
        <v>83</v>
      </c>
      <c r="C49" s="5">
        <v>2024</v>
      </c>
      <c r="D49" s="5" t="s">
        <v>84</v>
      </c>
      <c r="E49" s="5">
        <v>16844</v>
      </c>
      <c r="F49" s="5" t="s">
        <v>24</v>
      </c>
      <c r="G49" s="5">
        <v>3</v>
      </c>
      <c r="H49" s="5" t="s">
        <v>7</v>
      </c>
      <c r="I49" s="5" t="s">
        <v>86</v>
      </c>
      <c r="J49" s="5" t="s">
        <v>20</v>
      </c>
      <c r="K49" s="5" t="s">
        <v>76</v>
      </c>
      <c r="M49" s="5">
        <v>0</v>
      </c>
      <c r="O49" s="7">
        <v>9384540.5600000005</v>
      </c>
      <c r="P49" s="7"/>
      <c r="Q49" s="7">
        <v>7511830.6200000001</v>
      </c>
      <c r="R49" s="7">
        <f>Tabla1[[#This Row],[Monto Adjudicado]]*20%</f>
        <v>1502366.1240000001</v>
      </c>
      <c r="S49" s="7"/>
      <c r="T49" s="7"/>
      <c r="U49" s="7">
        <f>Tabla1[[#This Row],[Cubicaciones]]</f>
        <v>0</v>
      </c>
      <c r="V49" s="7">
        <f>Tabla1[[#This Row],[Avance 20%]]+Tabla1[[#This Row],[Total Cubicado]]</f>
        <v>1502366.1240000001</v>
      </c>
      <c r="W49" s="5" t="s">
        <v>33</v>
      </c>
      <c r="X49" s="17">
        <f>Tabla1[[#This Row],[TOTAL PAGADO]]/Tabla1[[#This Row],[Monto Adjudicado]]*100%</f>
        <v>0.2</v>
      </c>
    </row>
    <row r="50" spans="1:24" x14ac:dyDescent="0.3">
      <c r="B50" s="5" t="s">
        <v>83</v>
      </c>
      <c r="C50" s="5">
        <v>2024</v>
      </c>
      <c r="D50" s="5" t="s">
        <v>84</v>
      </c>
      <c r="E50" s="5">
        <v>16844</v>
      </c>
      <c r="F50" s="5" t="s">
        <v>88</v>
      </c>
      <c r="G50" s="5">
        <v>2</v>
      </c>
      <c r="H50" s="5" t="s">
        <v>7</v>
      </c>
      <c r="I50" s="5" t="s">
        <v>86</v>
      </c>
      <c r="J50" s="5" t="s">
        <v>26</v>
      </c>
      <c r="K50" s="5" t="s">
        <v>89</v>
      </c>
      <c r="M50" s="5">
        <v>0</v>
      </c>
      <c r="O50" s="7">
        <v>9634540.5600000005</v>
      </c>
      <c r="P50" s="7"/>
      <c r="Q50" s="7">
        <v>7707477.5800000001</v>
      </c>
      <c r="R50" s="7">
        <f>Tabla1[[#This Row],[Monto Adjudicado]]*20%</f>
        <v>1541495.5160000001</v>
      </c>
      <c r="S50" s="7"/>
      <c r="T50" s="7"/>
      <c r="U50" s="7">
        <f>Tabla1[[#This Row],[Cubicaciones]]</f>
        <v>0</v>
      </c>
      <c r="V50" s="7">
        <f>Tabla1[[#This Row],[Avance 20%]]+Tabla1[[#This Row],[Total Cubicado]]</f>
        <v>1541495.5160000001</v>
      </c>
      <c r="W50" s="5" t="s">
        <v>33</v>
      </c>
      <c r="X50" s="17">
        <f>Tabla1[[#This Row],[TOTAL PAGADO]]/Tabla1[[#This Row],[Monto Adjudicado]]*100%</f>
        <v>0.2</v>
      </c>
    </row>
    <row r="51" spans="1:24" x14ac:dyDescent="0.3">
      <c r="B51" s="5" t="s">
        <v>90</v>
      </c>
      <c r="C51" s="5">
        <v>2026</v>
      </c>
      <c r="D51" s="5" t="s">
        <v>91</v>
      </c>
      <c r="E51" s="5">
        <v>16879</v>
      </c>
      <c r="F51" s="5" t="s">
        <v>88</v>
      </c>
      <c r="G51" s="5">
        <v>1</v>
      </c>
      <c r="H51" s="5" t="s">
        <v>7</v>
      </c>
      <c r="I51" s="5" t="s">
        <v>92</v>
      </c>
      <c r="J51" s="5" t="s">
        <v>26</v>
      </c>
      <c r="L51" s="5" t="s">
        <v>93</v>
      </c>
      <c r="M51" s="5">
        <v>1000</v>
      </c>
      <c r="O51" s="7">
        <v>4561600.7837957228</v>
      </c>
      <c r="P51" s="7"/>
      <c r="Q51" s="7">
        <v>4105445.18</v>
      </c>
      <c r="R51" s="7">
        <v>0</v>
      </c>
      <c r="S51" s="7"/>
      <c r="T51" s="7"/>
      <c r="U51" s="7">
        <f>Tabla1[[#This Row],[Cubicaciones]]</f>
        <v>0</v>
      </c>
      <c r="V51" s="7">
        <f>Tabla1[[#This Row],[Avance 20%]]+Tabla1[[#This Row],[Total Cubicado]]</f>
        <v>0</v>
      </c>
      <c r="W51" s="5" t="s">
        <v>94</v>
      </c>
      <c r="X51" s="17">
        <f>Tabla1[[#This Row],[TOTAL PAGADO]]/Tabla1[[#This Row],[Monto Adjudicado]]*100%</f>
        <v>0</v>
      </c>
    </row>
    <row r="52" spans="1:24" x14ac:dyDescent="0.3">
      <c r="B52" s="5" t="s">
        <v>90</v>
      </c>
      <c r="C52" s="5">
        <v>2026</v>
      </c>
      <c r="D52" s="5" t="s">
        <v>91</v>
      </c>
      <c r="E52" s="5">
        <v>16879</v>
      </c>
      <c r="F52" s="5" t="s">
        <v>88</v>
      </c>
      <c r="G52" s="5">
        <v>2</v>
      </c>
      <c r="H52" s="5" t="s">
        <v>7</v>
      </c>
      <c r="I52" s="5" t="s">
        <v>95</v>
      </c>
      <c r="J52" s="5" t="s">
        <v>26</v>
      </c>
      <c r="L52" s="5" t="s">
        <v>93</v>
      </c>
      <c r="M52" s="5">
        <v>1000</v>
      </c>
      <c r="O52" s="7">
        <v>4561600.7837957228</v>
      </c>
      <c r="P52" s="7"/>
      <c r="Q52" s="7">
        <v>4105445.18</v>
      </c>
      <c r="R52" s="7">
        <v>0</v>
      </c>
      <c r="S52" s="7"/>
      <c r="T52" s="7"/>
      <c r="U52" s="7">
        <f>Tabla1[[#This Row],[Cubicaciones]]</f>
        <v>0</v>
      </c>
      <c r="V52" s="7">
        <f>Tabla1[[#This Row],[Avance 20%]]+Tabla1[[#This Row],[Total Cubicado]]</f>
        <v>0</v>
      </c>
      <c r="W52" s="5" t="s">
        <v>94</v>
      </c>
      <c r="X52" s="17">
        <f>Tabla1[[#This Row],[TOTAL PAGADO]]/Tabla1[[#This Row],[Monto Adjudicado]]*100%</f>
        <v>0</v>
      </c>
    </row>
    <row r="53" spans="1:24" x14ac:dyDescent="0.3">
      <c r="A53" s="5" t="s">
        <v>96</v>
      </c>
      <c r="B53" s="5" t="s">
        <v>97</v>
      </c>
      <c r="D53" s="5" t="s">
        <v>98</v>
      </c>
      <c r="E53" s="5">
        <v>16340</v>
      </c>
      <c r="H53" s="5" t="s">
        <v>186</v>
      </c>
      <c r="I53" s="5" t="s">
        <v>99</v>
      </c>
      <c r="J53" s="5" t="s">
        <v>20</v>
      </c>
      <c r="O53" s="6">
        <v>2390377.21</v>
      </c>
      <c r="P53" s="6"/>
      <c r="Q53" s="7">
        <v>1085600</v>
      </c>
      <c r="R53" s="7"/>
      <c r="S53" s="7"/>
      <c r="T53" s="7"/>
      <c r="U53" s="7">
        <f>Tabla1[[#This Row],[Cubicaciones]]</f>
        <v>0</v>
      </c>
      <c r="V53" s="7">
        <f>Tabla1[[#This Row],[Avance 20%]]+Tabla1[[#This Row],[Total Cubicado]]</f>
        <v>0</v>
      </c>
      <c r="W53" s="5" t="s">
        <v>21</v>
      </c>
      <c r="X53" s="17">
        <f>Tabla1[[#This Row],[TOTAL PAGADO]]/Tabla1[[#This Row],[Monto Adjudicado]]*100%</f>
        <v>0</v>
      </c>
    </row>
    <row r="54" spans="1:24" x14ac:dyDescent="0.3">
      <c r="A54" s="5" t="s">
        <v>100</v>
      </c>
      <c r="B54" s="5" t="s">
        <v>101</v>
      </c>
      <c r="D54" s="5" t="s">
        <v>102</v>
      </c>
      <c r="E54" s="5">
        <v>16340</v>
      </c>
      <c r="H54" s="5" t="s">
        <v>186</v>
      </c>
      <c r="I54" s="5" t="s">
        <v>103</v>
      </c>
      <c r="J54" s="5" t="s">
        <v>20</v>
      </c>
      <c r="O54" s="6">
        <v>666100</v>
      </c>
      <c r="P54" s="6"/>
      <c r="Q54" s="7">
        <v>407599.93</v>
      </c>
      <c r="R54" s="7"/>
      <c r="S54" s="7"/>
      <c r="T54" s="7"/>
      <c r="U54" s="7">
        <f>Tabla1[[#This Row],[Cubicaciones]]</f>
        <v>0</v>
      </c>
      <c r="V54" s="7">
        <f>Tabla1[[#This Row],[Avance 20%]]+Tabla1[[#This Row],[Total Cubicado]]</f>
        <v>0</v>
      </c>
      <c r="W54" s="5" t="s">
        <v>21</v>
      </c>
      <c r="X54" s="17">
        <f>Tabla1[[#This Row],[TOTAL PAGADO]]/Tabla1[[#This Row],[Monto Adjudicado]]*100%</f>
        <v>0</v>
      </c>
    </row>
    <row r="55" spans="1:24" x14ac:dyDescent="0.3">
      <c r="B55" s="5" t="s">
        <v>104</v>
      </c>
      <c r="C55" s="5">
        <v>2025</v>
      </c>
      <c r="D55" s="5" t="s">
        <v>105</v>
      </c>
      <c r="E55" s="5">
        <v>16879</v>
      </c>
      <c r="H55" s="5" t="s">
        <v>7</v>
      </c>
      <c r="I55" s="5" t="s">
        <v>106</v>
      </c>
      <c r="J55" s="5" t="s">
        <v>48</v>
      </c>
      <c r="L55" s="5" t="s">
        <v>51</v>
      </c>
      <c r="M55" s="5">
        <v>36</v>
      </c>
      <c r="O55" s="7">
        <v>3419652.1987980008</v>
      </c>
      <c r="P55" s="7"/>
      <c r="Q55" s="7">
        <v>3077688.25</v>
      </c>
      <c r="R55" s="7">
        <v>615537.65</v>
      </c>
      <c r="S55" s="7"/>
      <c r="T55" s="7"/>
      <c r="U55" s="7">
        <f>Tabla1[[#This Row],[Cubicaciones]]</f>
        <v>0</v>
      </c>
      <c r="V55" s="7">
        <f>Tabla1[[#This Row],[Avance 20%]]+Tabla1[[#This Row],[Total Cubicado]]</f>
        <v>615537.65</v>
      </c>
      <c r="W55" s="5" t="s">
        <v>33</v>
      </c>
      <c r="X55" s="17">
        <f>Tabla1[[#This Row],[TOTAL PAGADO]]/Tabla1[[#This Row],[Monto Adjudicado]]*100%</f>
        <v>0.2</v>
      </c>
    </row>
    <row r="56" spans="1:24" x14ac:dyDescent="0.3">
      <c r="B56" s="5" t="s">
        <v>104</v>
      </c>
      <c r="C56" s="5">
        <v>2025</v>
      </c>
      <c r="D56" s="5" t="s">
        <v>105</v>
      </c>
      <c r="E56" s="5">
        <v>16879</v>
      </c>
      <c r="H56" s="5" t="s">
        <v>7</v>
      </c>
      <c r="I56" s="5" t="s">
        <v>107</v>
      </c>
      <c r="J56" s="5" t="s">
        <v>48</v>
      </c>
      <c r="L56" s="5" t="s">
        <v>108</v>
      </c>
      <c r="M56" s="5">
        <v>390</v>
      </c>
      <c r="O56" s="7">
        <v>2977703.4487980008</v>
      </c>
      <c r="P56" s="7"/>
      <c r="Q56" s="7">
        <v>2800162.26</v>
      </c>
      <c r="R56" s="7">
        <v>560032.45199999993</v>
      </c>
      <c r="S56" s="7"/>
      <c r="T56" s="7"/>
      <c r="U56" s="7">
        <f>Tabla1[[#This Row],[Cubicaciones]]</f>
        <v>0</v>
      </c>
      <c r="V56" s="7">
        <f>Tabla1[[#This Row],[Avance 20%]]+Tabla1[[#This Row],[Total Cubicado]]</f>
        <v>560032.45199999993</v>
      </c>
      <c r="W56" s="5" t="s">
        <v>33</v>
      </c>
      <c r="X56" s="17">
        <f>Tabla1[[#This Row],[TOTAL PAGADO]]/Tabla1[[#This Row],[Monto Adjudicado]]*100%</f>
        <v>0.19999999999999998</v>
      </c>
    </row>
    <row r="57" spans="1:24" x14ac:dyDescent="0.3">
      <c r="B57" s="5" t="s">
        <v>104</v>
      </c>
      <c r="C57" s="5">
        <v>2025</v>
      </c>
      <c r="D57" s="5" t="s">
        <v>105</v>
      </c>
      <c r="E57" s="5">
        <v>16879</v>
      </c>
      <c r="H57" s="5" t="s">
        <v>7</v>
      </c>
      <c r="I57" s="5" t="s">
        <v>107</v>
      </c>
      <c r="J57" s="5" t="s">
        <v>48</v>
      </c>
      <c r="L57" s="5" t="s">
        <v>53</v>
      </c>
      <c r="M57" s="5">
        <v>600</v>
      </c>
      <c r="O57" s="7">
        <v>2977703.4487980008</v>
      </c>
      <c r="P57" s="7"/>
      <c r="Q57" s="7">
        <v>2800162.26</v>
      </c>
      <c r="R57" s="7">
        <v>560032.45199999993</v>
      </c>
      <c r="S57" s="7"/>
      <c r="T57" s="7"/>
      <c r="U57" s="7">
        <f>Tabla1[[#This Row],[Cubicaciones]]</f>
        <v>0</v>
      </c>
      <c r="V57" s="7">
        <f>Tabla1[[#This Row],[Avance 20%]]+Tabla1[[#This Row],[Total Cubicado]]</f>
        <v>560032.45199999993</v>
      </c>
      <c r="W57" s="5" t="s">
        <v>33</v>
      </c>
      <c r="X57" s="17">
        <f>Tabla1[[#This Row],[TOTAL PAGADO]]/Tabla1[[#This Row],[Monto Adjudicado]]*100%</f>
        <v>0.19999999999999998</v>
      </c>
    </row>
    <row r="58" spans="1:24" x14ac:dyDescent="0.3">
      <c r="B58" s="5" t="s">
        <v>104</v>
      </c>
      <c r="C58" s="5">
        <v>2025</v>
      </c>
      <c r="D58" s="5" t="s">
        <v>105</v>
      </c>
      <c r="E58" s="5">
        <v>16879</v>
      </c>
      <c r="H58" s="5" t="s">
        <v>7</v>
      </c>
      <c r="I58" s="5" t="s">
        <v>107</v>
      </c>
      <c r="J58" s="5" t="s">
        <v>48</v>
      </c>
      <c r="L58" s="5" t="s">
        <v>49</v>
      </c>
      <c r="M58" s="5">
        <v>2010</v>
      </c>
      <c r="O58" s="7">
        <v>2977703.4487980008</v>
      </c>
      <c r="P58" s="7"/>
      <c r="Q58" s="7">
        <v>2800162.26</v>
      </c>
      <c r="R58" s="7">
        <v>560032.45199999993</v>
      </c>
      <c r="S58" s="7"/>
      <c r="T58" s="7"/>
      <c r="U58" s="7">
        <f>Tabla1[[#This Row],[Cubicaciones]]</f>
        <v>0</v>
      </c>
      <c r="V58" s="7">
        <f>Tabla1[[#This Row],[Avance 20%]]+Tabla1[[#This Row],[Total Cubicado]]</f>
        <v>560032.45199999993</v>
      </c>
      <c r="W58" s="5" t="s">
        <v>33</v>
      </c>
      <c r="X58" s="17">
        <f>Tabla1[[#This Row],[TOTAL PAGADO]]/Tabla1[[#This Row],[Monto Adjudicado]]*100%</f>
        <v>0.19999999999999998</v>
      </c>
    </row>
    <row r="59" spans="1:24" x14ac:dyDescent="0.3">
      <c r="B59" s="5" t="s">
        <v>104</v>
      </c>
      <c r="C59" s="5">
        <v>2025</v>
      </c>
      <c r="D59" s="5" t="s">
        <v>105</v>
      </c>
      <c r="E59" s="5">
        <v>16879</v>
      </c>
      <c r="H59" s="5" t="s">
        <v>7</v>
      </c>
      <c r="I59" s="5" t="s">
        <v>107</v>
      </c>
      <c r="J59" s="5" t="s">
        <v>48</v>
      </c>
      <c r="L59" s="5" t="s">
        <v>109</v>
      </c>
      <c r="M59" s="5">
        <v>315</v>
      </c>
      <c r="O59" s="7">
        <v>3148252.1987980008</v>
      </c>
      <c r="P59" s="7"/>
      <c r="Q59" s="7">
        <v>2898102.26</v>
      </c>
      <c r="R59" s="7">
        <v>579620.45199999993</v>
      </c>
      <c r="S59" s="7"/>
      <c r="T59" s="7"/>
      <c r="U59" s="7">
        <f>Tabla1[[#This Row],[Cubicaciones]]</f>
        <v>0</v>
      </c>
      <c r="V59" s="7">
        <f>Tabla1[[#This Row],[Avance 20%]]+Tabla1[[#This Row],[Total Cubicado]]</f>
        <v>579620.45199999993</v>
      </c>
      <c r="W59" s="5" t="s">
        <v>33</v>
      </c>
      <c r="X59" s="17">
        <f>Tabla1[[#This Row],[TOTAL PAGADO]]/Tabla1[[#This Row],[Monto Adjudicado]]*100%</f>
        <v>0.19999999999999998</v>
      </c>
    </row>
    <row r="60" spans="1:24" x14ac:dyDescent="0.3">
      <c r="B60" s="5" t="s">
        <v>104</v>
      </c>
      <c r="C60" s="5">
        <v>2025</v>
      </c>
      <c r="D60" s="5" t="s">
        <v>105</v>
      </c>
      <c r="E60" s="5">
        <v>16879</v>
      </c>
      <c r="H60" s="5" t="s">
        <v>7</v>
      </c>
      <c r="I60" s="5" t="s">
        <v>107</v>
      </c>
      <c r="J60" s="5" t="s">
        <v>60</v>
      </c>
      <c r="L60" s="5" t="s">
        <v>110</v>
      </c>
      <c r="M60" s="5">
        <v>144</v>
      </c>
      <c r="O60" s="7">
        <v>3446792.1987980008</v>
      </c>
      <c r="P60" s="7"/>
      <c r="Q60" s="7">
        <v>3102360.26</v>
      </c>
      <c r="R60" s="7">
        <v>620472.05200000003</v>
      </c>
      <c r="S60" s="7"/>
      <c r="T60" s="7"/>
      <c r="U60" s="7">
        <f>Tabla1[[#This Row],[Cubicaciones]]</f>
        <v>0</v>
      </c>
      <c r="V60" s="7">
        <f>Tabla1[[#This Row],[Avance 20%]]+Tabla1[[#This Row],[Total Cubicado]]</f>
        <v>620472.05200000003</v>
      </c>
      <c r="W60" s="5" t="s">
        <v>33</v>
      </c>
      <c r="X60" s="17">
        <f>Tabla1[[#This Row],[TOTAL PAGADO]]/Tabla1[[#This Row],[Monto Adjudicado]]*100%</f>
        <v>0.2</v>
      </c>
    </row>
    <row r="61" spans="1:24" x14ac:dyDescent="0.3">
      <c r="B61" s="5" t="s">
        <v>104</v>
      </c>
      <c r="C61" s="5">
        <v>2025</v>
      </c>
      <c r="D61" s="5" t="s">
        <v>105</v>
      </c>
      <c r="E61" s="5">
        <v>16879</v>
      </c>
      <c r="H61" s="5" t="s">
        <v>7</v>
      </c>
      <c r="I61" s="5" t="s">
        <v>107</v>
      </c>
      <c r="J61" s="5" t="s">
        <v>60</v>
      </c>
      <c r="L61" s="5" t="s">
        <v>61</v>
      </c>
      <c r="M61" s="5">
        <v>129</v>
      </c>
      <c r="O61" s="7">
        <v>3134894.9754646677</v>
      </c>
      <c r="P61" s="7"/>
      <c r="Q61" s="7">
        <v>2970398.26</v>
      </c>
      <c r="R61" s="7">
        <v>594079.652</v>
      </c>
      <c r="S61" s="7"/>
      <c r="T61" s="7"/>
      <c r="U61" s="7">
        <f>Tabla1[[#This Row],[Cubicaciones]]</f>
        <v>0</v>
      </c>
      <c r="V61" s="7">
        <f>Tabla1[[#This Row],[Avance 20%]]+Tabla1[[#This Row],[Total Cubicado]]</f>
        <v>594079.652</v>
      </c>
      <c r="W61" s="5" t="s">
        <v>33</v>
      </c>
      <c r="X61" s="17">
        <f>Tabla1[[#This Row],[TOTAL PAGADO]]/Tabla1[[#This Row],[Monto Adjudicado]]*100%</f>
        <v>0.2</v>
      </c>
    </row>
    <row r="62" spans="1:24" x14ac:dyDescent="0.3">
      <c r="B62" s="5" t="s">
        <v>104</v>
      </c>
      <c r="C62" s="5">
        <v>2025</v>
      </c>
      <c r="D62" s="5" t="s">
        <v>105</v>
      </c>
      <c r="E62" s="5">
        <v>16879</v>
      </c>
      <c r="H62" s="5" t="s">
        <v>7</v>
      </c>
      <c r="I62" s="5" t="s">
        <v>107</v>
      </c>
      <c r="J62" s="5" t="s">
        <v>60</v>
      </c>
      <c r="L62" s="5" t="s">
        <v>111</v>
      </c>
      <c r="M62" s="5">
        <v>135</v>
      </c>
      <c r="O62" s="7">
        <v>3134894.9754646677</v>
      </c>
      <c r="P62" s="7"/>
      <c r="Q62" s="7">
        <v>2970398.26</v>
      </c>
      <c r="R62" s="7">
        <v>594079.652</v>
      </c>
      <c r="S62" s="7"/>
      <c r="T62" s="7"/>
      <c r="U62" s="7">
        <f>Tabla1[[#This Row],[Cubicaciones]]</f>
        <v>0</v>
      </c>
      <c r="V62" s="7">
        <f>Tabla1[[#This Row],[Avance 20%]]+Tabla1[[#This Row],[Total Cubicado]]</f>
        <v>594079.652</v>
      </c>
      <c r="W62" s="5" t="s">
        <v>33</v>
      </c>
      <c r="X62" s="17">
        <f>Tabla1[[#This Row],[TOTAL PAGADO]]/Tabla1[[#This Row],[Monto Adjudicado]]*100%</f>
        <v>0.2</v>
      </c>
    </row>
    <row r="63" spans="1:24" x14ac:dyDescent="0.3">
      <c r="B63" s="5" t="s">
        <v>104</v>
      </c>
      <c r="C63" s="5">
        <v>2025</v>
      </c>
      <c r="D63" s="5" t="s">
        <v>105</v>
      </c>
      <c r="E63" s="5">
        <v>16879</v>
      </c>
      <c r="H63" s="5" t="s">
        <v>7</v>
      </c>
      <c r="I63" s="5" t="s">
        <v>107</v>
      </c>
      <c r="J63" s="5" t="s">
        <v>60</v>
      </c>
      <c r="L63" s="5" t="s">
        <v>112</v>
      </c>
      <c r="M63" s="5">
        <v>150</v>
      </c>
      <c r="O63" s="7">
        <v>3134894.9754646677</v>
      </c>
      <c r="P63" s="7"/>
      <c r="Q63" s="7">
        <v>2970398.26</v>
      </c>
      <c r="R63" s="7">
        <v>594079.652</v>
      </c>
      <c r="S63" s="7"/>
      <c r="T63" s="7"/>
      <c r="U63" s="7">
        <f>Tabla1[[#This Row],[Cubicaciones]]</f>
        <v>0</v>
      </c>
      <c r="V63" s="7">
        <f>Tabla1[[#This Row],[Avance 20%]]+Tabla1[[#This Row],[Total Cubicado]]</f>
        <v>594079.652</v>
      </c>
      <c r="W63" s="5" t="s">
        <v>33</v>
      </c>
      <c r="X63" s="17">
        <f>Tabla1[[#This Row],[TOTAL PAGADO]]/Tabla1[[#This Row],[Monto Adjudicado]]*100%</f>
        <v>0.2</v>
      </c>
    </row>
    <row r="64" spans="1:24" x14ac:dyDescent="0.3">
      <c r="B64" s="5" t="s">
        <v>104</v>
      </c>
      <c r="C64" s="5">
        <v>2025</v>
      </c>
      <c r="D64" s="5" t="s">
        <v>105</v>
      </c>
      <c r="E64" s="5">
        <v>16879</v>
      </c>
      <c r="H64" s="5" t="s">
        <v>7</v>
      </c>
      <c r="I64" s="5" t="s">
        <v>107</v>
      </c>
      <c r="J64" s="5" t="s">
        <v>20</v>
      </c>
      <c r="K64" s="5" t="s">
        <v>69</v>
      </c>
      <c r="L64" s="5" t="s">
        <v>113</v>
      </c>
      <c r="M64" s="5">
        <v>45</v>
      </c>
      <c r="O64" s="7">
        <v>2977703.4487980008</v>
      </c>
      <c r="P64" s="7"/>
      <c r="Q64" s="7">
        <v>2820458.25</v>
      </c>
      <c r="R64" s="7">
        <v>564091.65</v>
      </c>
      <c r="S64" s="7"/>
      <c r="T64" s="7"/>
      <c r="U64" s="7">
        <f>Tabla1[[#This Row],[Cubicaciones]]</f>
        <v>0</v>
      </c>
      <c r="V64" s="7">
        <f>Tabla1[[#This Row],[Avance 20%]]+Tabla1[[#This Row],[Total Cubicado]]</f>
        <v>564091.65</v>
      </c>
      <c r="W64" s="5" t="s">
        <v>33</v>
      </c>
      <c r="X64" s="17">
        <f>Tabla1[[#This Row],[TOTAL PAGADO]]/Tabla1[[#This Row],[Monto Adjudicado]]*100%</f>
        <v>0.2</v>
      </c>
    </row>
    <row r="65" spans="2:24" x14ac:dyDescent="0.3">
      <c r="B65" s="5" t="s">
        <v>104</v>
      </c>
      <c r="C65" s="5">
        <v>2025</v>
      </c>
      <c r="D65" s="5" t="s">
        <v>105</v>
      </c>
      <c r="E65" s="5">
        <v>16879</v>
      </c>
      <c r="H65" s="5" t="s">
        <v>7</v>
      </c>
      <c r="I65" s="5" t="s">
        <v>107</v>
      </c>
      <c r="J65" s="5" t="s">
        <v>20</v>
      </c>
      <c r="K65" s="5" t="s">
        <v>69</v>
      </c>
      <c r="L65" s="5" t="s">
        <v>114</v>
      </c>
      <c r="M65" s="5">
        <v>102</v>
      </c>
      <c r="O65" s="7">
        <v>2977703.4487980008</v>
      </c>
      <c r="P65" s="7"/>
      <c r="Q65" s="7">
        <v>2860148.26</v>
      </c>
      <c r="R65" s="7">
        <v>572029.652</v>
      </c>
      <c r="S65" s="7"/>
      <c r="T65" s="7"/>
      <c r="U65" s="7">
        <f>Tabla1[[#This Row],[Cubicaciones]]</f>
        <v>0</v>
      </c>
      <c r="V65" s="7">
        <f>Tabla1[[#This Row],[Avance 20%]]+Tabla1[[#This Row],[Total Cubicado]]</f>
        <v>572029.652</v>
      </c>
      <c r="W65" s="5" t="s">
        <v>33</v>
      </c>
      <c r="X65" s="17">
        <f>Tabla1[[#This Row],[TOTAL PAGADO]]/Tabla1[[#This Row],[Monto Adjudicado]]*100%</f>
        <v>0.2</v>
      </c>
    </row>
    <row r="66" spans="2:24" x14ac:dyDescent="0.3">
      <c r="B66" s="5" t="s">
        <v>104</v>
      </c>
      <c r="C66" s="5">
        <v>2025</v>
      </c>
      <c r="D66" s="5" t="s">
        <v>105</v>
      </c>
      <c r="E66" s="5">
        <v>16879</v>
      </c>
      <c r="H66" s="5" t="s">
        <v>7</v>
      </c>
      <c r="I66" s="5" t="s">
        <v>107</v>
      </c>
      <c r="J66" s="5" t="s">
        <v>20</v>
      </c>
      <c r="K66" s="5" t="s">
        <v>69</v>
      </c>
      <c r="L66" s="5" t="s">
        <v>73</v>
      </c>
      <c r="M66" s="5">
        <v>72</v>
      </c>
      <c r="O66" s="7">
        <v>3256812.1987980008</v>
      </c>
      <c r="P66" s="7"/>
      <c r="Q66" s="7">
        <v>2980230.26</v>
      </c>
      <c r="R66" s="7">
        <v>596046.05200000003</v>
      </c>
      <c r="S66" s="7"/>
      <c r="T66" s="7"/>
      <c r="U66" s="7">
        <f>Tabla1[[#This Row],[Cubicaciones]]</f>
        <v>0</v>
      </c>
      <c r="V66" s="7">
        <f>Tabla1[[#This Row],[Avance 20%]]+Tabla1[[#This Row],[Total Cubicado]]</f>
        <v>596046.05200000003</v>
      </c>
      <c r="W66" s="5" t="s">
        <v>33</v>
      </c>
      <c r="X66" s="17">
        <f>Tabla1[[#This Row],[TOTAL PAGADO]]/Tabla1[[#This Row],[Monto Adjudicado]]*100%</f>
        <v>0.2</v>
      </c>
    </row>
    <row r="67" spans="2:24" x14ac:dyDescent="0.3">
      <c r="B67" s="5" t="s">
        <v>104</v>
      </c>
      <c r="C67" s="5">
        <v>2025</v>
      </c>
      <c r="D67" s="5" t="s">
        <v>105</v>
      </c>
      <c r="E67" s="5">
        <v>16879</v>
      </c>
      <c r="H67" s="5" t="s">
        <v>7</v>
      </c>
      <c r="I67" s="5" t="s">
        <v>107</v>
      </c>
      <c r="J67" s="5" t="s">
        <v>20</v>
      </c>
      <c r="K67" s="5" t="s">
        <v>69</v>
      </c>
      <c r="L67" s="5" t="s">
        <v>115</v>
      </c>
      <c r="M67" s="5">
        <v>180</v>
      </c>
      <c r="O67" s="7">
        <v>3446792.1987980008</v>
      </c>
      <c r="P67" s="7"/>
      <c r="Q67" s="7">
        <v>3102360.26</v>
      </c>
      <c r="R67" s="7">
        <v>620472.05200000003</v>
      </c>
      <c r="S67" s="7"/>
      <c r="T67" s="7"/>
      <c r="U67" s="7">
        <f>Tabla1[[#This Row],[Cubicaciones]]</f>
        <v>0</v>
      </c>
      <c r="V67" s="7">
        <f>Tabla1[[#This Row],[Avance 20%]]+Tabla1[[#This Row],[Total Cubicado]]</f>
        <v>620472.05200000003</v>
      </c>
      <c r="W67" s="5" t="s">
        <v>33</v>
      </c>
      <c r="X67" s="17">
        <f>Tabla1[[#This Row],[TOTAL PAGADO]]/Tabla1[[#This Row],[Monto Adjudicado]]*100%</f>
        <v>0.2</v>
      </c>
    </row>
    <row r="68" spans="2:24" x14ac:dyDescent="0.3">
      <c r="B68" s="5" t="s">
        <v>104</v>
      </c>
      <c r="C68" s="5">
        <v>2025</v>
      </c>
      <c r="D68" s="5" t="s">
        <v>105</v>
      </c>
      <c r="E68" s="5">
        <v>16879</v>
      </c>
      <c r="H68" s="5" t="s">
        <v>7</v>
      </c>
      <c r="I68" s="5" t="s">
        <v>107</v>
      </c>
      <c r="J68" s="5" t="s">
        <v>20</v>
      </c>
      <c r="K68" s="5" t="s">
        <v>69</v>
      </c>
      <c r="L68" s="5" t="s">
        <v>70</v>
      </c>
      <c r="M68" s="5">
        <v>150</v>
      </c>
      <c r="O68" s="7">
        <v>2977703.4487980008</v>
      </c>
      <c r="P68" s="7"/>
      <c r="Q68" s="7">
        <v>2820458.26</v>
      </c>
      <c r="R68" s="7">
        <v>564091.652</v>
      </c>
      <c r="S68" s="7"/>
      <c r="T68" s="7"/>
      <c r="U68" s="7">
        <f>Tabla1[[#This Row],[Cubicaciones]]</f>
        <v>0</v>
      </c>
      <c r="V68" s="7">
        <f>Tabla1[[#This Row],[Avance 20%]]+Tabla1[[#This Row],[Total Cubicado]]</f>
        <v>564091.652</v>
      </c>
      <c r="W68" s="5" t="s">
        <v>33</v>
      </c>
      <c r="X68" s="17">
        <f>Tabla1[[#This Row],[TOTAL PAGADO]]/Tabla1[[#This Row],[Monto Adjudicado]]*100%</f>
        <v>0.2</v>
      </c>
    </row>
    <row r="69" spans="2:24" x14ac:dyDescent="0.3">
      <c r="B69" s="5" t="s">
        <v>104</v>
      </c>
      <c r="C69" s="5">
        <v>2025</v>
      </c>
      <c r="D69" s="5" t="s">
        <v>105</v>
      </c>
      <c r="E69" s="5">
        <v>16879</v>
      </c>
      <c r="H69" s="5" t="s">
        <v>7</v>
      </c>
      <c r="I69" s="5" t="s">
        <v>107</v>
      </c>
      <c r="J69" s="5" t="s">
        <v>20</v>
      </c>
      <c r="K69" s="5" t="s">
        <v>74</v>
      </c>
      <c r="L69" s="5" t="s">
        <v>116</v>
      </c>
      <c r="M69" s="5">
        <v>450</v>
      </c>
      <c r="O69" s="7">
        <v>2977703.4487980008</v>
      </c>
      <c r="P69" s="7"/>
      <c r="Q69" s="7">
        <v>2756148.26</v>
      </c>
      <c r="R69" s="7">
        <v>551229.652</v>
      </c>
      <c r="S69" s="7"/>
      <c r="T69" s="7"/>
      <c r="U69" s="7">
        <f>Tabla1[[#This Row],[Cubicaciones]]</f>
        <v>0</v>
      </c>
      <c r="V69" s="7">
        <f>Tabla1[[#This Row],[Avance 20%]]+Tabla1[[#This Row],[Total Cubicado]]</f>
        <v>551229.652</v>
      </c>
      <c r="W69" s="5" t="s">
        <v>33</v>
      </c>
      <c r="X69" s="17">
        <f>Tabla1[[#This Row],[TOTAL PAGADO]]/Tabla1[[#This Row],[Monto Adjudicado]]*100%</f>
        <v>0.2</v>
      </c>
    </row>
    <row r="70" spans="2:24" x14ac:dyDescent="0.3">
      <c r="B70" s="5" t="s">
        <v>104</v>
      </c>
      <c r="C70" s="5">
        <v>2025</v>
      </c>
      <c r="D70" s="5" t="s">
        <v>105</v>
      </c>
      <c r="E70" s="5">
        <v>16879</v>
      </c>
      <c r="H70" s="5" t="s">
        <v>7</v>
      </c>
      <c r="I70" s="5" t="s">
        <v>107</v>
      </c>
      <c r="J70" s="5" t="s">
        <v>20</v>
      </c>
      <c r="K70" s="5" t="s">
        <v>76</v>
      </c>
      <c r="L70" s="5" t="s">
        <v>117</v>
      </c>
      <c r="M70" s="5">
        <v>600</v>
      </c>
      <c r="O70" s="7">
        <v>3446792.1987980008</v>
      </c>
      <c r="P70" s="7"/>
      <c r="Q70" s="7">
        <v>3102360.26</v>
      </c>
      <c r="R70" s="7">
        <v>620472.05200000003</v>
      </c>
      <c r="S70" s="7"/>
      <c r="T70" s="7"/>
      <c r="U70" s="7">
        <f>Tabla1[[#This Row],[Cubicaciones]]</f>
        <v>0</v>
      </c>
      <c r="V70" s="7">
        <f>Tabla1[[#This Row],[Avance 20%]]+Tabla1[[#This Row],[Total Cubicado]]</f>
        <v>620472.05200000003</v>
      </c>
      <c r="W70" s="5" t="s">
        <v>33</v>
      </c>
      <c r="X70" s="17">
        <f>Tabla1[[#This Row],[TOTAL PAGADO]]/Tabla1[[#This Row],[Monto Adjudicado]]*100%</f>
        <v>0.2</v>
      </c>
    </row>
    <row r="71" spans="2:24" x14ac:dyDescent="0.3">
      <c r="B71" s="5" t="s">
        <v>104</v>
      </c>
      <c r="C71" s="5">
        <v>2025</v>
      </c>
      <c r="D71" s="5" t="s">
        <v>105</v>
      </c>
      <c r="E71" s="5">
        <v>16879</v>
      </c>
      <c r="H71" s="5" t="s">
        <v>7</v>
      </c>
      <c r="I71" s="5" t="s">
        <v>107</v>
      </c>
      <c r="J71" s="5" t="s">
        <v>20</v>
      </c>
      <c r="K71" s="5" t="s">
        <v>87</v>
      </c>
      <c r="L71" s="5" t="s">
        <v>118</v>
      </c>
      <c r="M71" s="5">
        <v>600</v>
      </c>
      <c r="O71" s="7">
        <v>3446792.1987980008</v>
      </c>
      <c r="P71" s="7"/>
      <c r="Q71" s="7">
        <v>3102360.26</v>
      </c>
      <c r="R71" s="7">
        <v>620472.05200000003</v>
      </c>
      <c r="S71" s="7"/>
      <c r="T71" s="7"/>
      <c r="U71" s="7">
        <f>Tabla1[[#This Row],[Cubicaciones]]</f>
        <v>0</v>
      </c>
      <c r="V71" s="7">
        <f>Tabla1[[#This Row],[Avance 20%]]+Tabla1[[#This Row],[Total Cubicado]]</f>
        <v>620472.05200000003</v>
      </c>
      <c r="W71" s="5" t="s">
        <v>33</v>
      </c>
      <c r="X71" s="17">
        <f>Tabla1[[#This Row],[TOTAL PAGADO]]/Tabla1[[#This Row],[Monto Adjudicado]]*100%</f>
        <v>0.2</v>
      </c>
    </row>
    <row r="72" spans="2:24" x14ac:dyDescent="0.3">
      <c r="B72" s="5" t="s">
        <v>104</v>
      </c>
      <c r="C72" s="5">
        <v>2025</v>
      </c>
      <c r="D72" s="5" t="s">
        <v>105</v>
      </c>
      <c r="E72" s="5">
        <v>16879</v>
      </c>
      <c r="H72" s="5" t="s">
        <v>7</v>
      </c>
      <c r="I72" s="5" t="s">
        <v>107</v>
      </c>
      <c r="J72" s="5" t="s">
        <v>20</v>
      </c>
      <c r="K72" s="5" t="s">
        <v>119</v>
      </c>
      <c r="L72" s="5" t="s">
        <v>120</v>
      </c>
      <c r="M72" s="5">
        <v>600</v>
      </c>
      <c r="O72" s="7">
        <v>3419652.1987980008</v>
      </c>
      <c r="P72" s="7"/>
      <c r="Q72" s="7">
        <v>3077688.26</v>
      </c>
      <c r="R72" s="7">
        <v>615537.652</v>
      </c>
      <c r="S72" s="7"/>
      <c r="T72" s="7"/>
      <c r="U72" s="7">
        <f>Tabla1[[#This Row],[Cubicaciones]]</f>
        <v>0</v>
      </c>
      <c r="V72" s="7">
        <f>Tabla1[[#This Row],[Avance 20%]]+Tabla1[[#This Row],[Total Cubicado]]</f>
        <v>615537.652</v>
      </c>
      <c r="W72" s="5" t="s">
        <v>33</v>
      </c>
      <c r="X72" s="17">
        <f>Tabla1[[#This Row],[TOTAL PAGADO]]/Tabla1[[#This Row],[Monto Adjudicado]]*100%</f>
        <v>0.2</v>
      </c>
    </row>
    <row r="73" spans="2:24" x14ac:dyDescent="0.3">
      <c r="B73" s="5" t="s">
        <v>104</v>
      </c>
      <c r="C73" s="5">
        <v>2025</v>
      </c>
      <c r="D73" s="5" t="s">
        <v>105</v>
      </c>
      <c r="E73" s="5">
        <v>16879</v>
      </c>
      <c r="H73" s="5" t="s">
        <v>7</v>
      </c>
      <c r="I73" s="5" t="s">
        <v>106</v>
      </c>
      <c r="J73" s="5" t="s">
        <v>20</v>
      </c>
      <c r="K73" s="5" t="s">
        <v>74</v>
      </c>
      <c r="L73" s="5" t="s">
        <v>121</v>
      </c>
      <c r="M73" s="5">
        <v>450</v>
      </c>
      <c r="O73" s="7">
        <v>3066832.1987980008</v>
      </c>
      <c r="P73" s="7"/>
      <c r="Q73" s="7">
        <v>2826004.25</v>
      </c>
      <c r="R73" s="7">
        <v>565200.85</v>
      </c>
      <c r="S73" s="7"/>
      <c r="T73" s="7"/>
      <c r="U73" s="7">
        <f>Tabla1[[#This Row],[Cubicaciones]]</f>
        <v>0</v>
      </c>
      <c r="V73" s="7">
        <f>Tabla1[[#This Row],[Avance 20%]]+Tabla1[[#This Row],[Total Cubicado]]</f>
        <v>565200.85</v>
      </c>
      <c r="W73" s="5" t="s">
        <v>33</v>
      </c>
      <c r="X73" s="17">
        <f>Tabla1[[#This Row],[TOTAL PAGADO]]/Tabla1[[#This Row],[Monto Adjudicado]]*100%</f>
        <v>0.19999999999999998</v>
      </c>
    </row>
    <row r="74" spans="2:24" x14ac:dyDescent="0.3">
      <c r="B74" s="5" t="s">
        <v>22</v>
      </c>
      <c r="C74" s="5">
        <v>2025</v>
      </c>
      <c r="D74" s="5" t="s">
        <v>105</v>
      </c>
      <c r="E74" s="5">
        <v>16879</v>
      </c>
      <c r="H74" s="5" t="s">
        <v>7</v>
      </c>
      <c r="I74" s="5" t="s">
        <v>25</v>
      </c>
      <c r="J74" s="5" t="s">
        <v>26</v>
      </c>
      <c r="K74" s="5" t="s">
        <v>89</v>
      </c>
      <c r="L74" s="5" t="s">
        <v>122</v>
      </c>
      <c r="M74" s="5">
        <v>330</v>
      </c>
      <c r="O74" s="7">
        <v>2810700.0185658624</v>
      </c>
      <c r="P74" s="7"/>
      <c r="Q74" s="7">
        <v>2850122.36</v>
      </c>
      <c r="R74" s="7">
        <f>Tabla1[[#This Row],[Monto Adjudicado]]*20%</f>
        <v>570024.47199999995</v>
      </c>
      <c r="S74" s="7"/>
      <c r="T74" s="7"/>
      <c r="U74" s="7">
        <f>Tabla1[[#This Row],[Cubicaciones]]</f>
        <v>0</v>
      </c>
      <c r="V74" s="7">
        <f>Tabla1[[#This Row],[Avance 20%]]+Tabla1[[#This Row],[Total Cubicado]]</f>
        <v>570024.47199999995</v>
      </c>
      <c r="W74" s="5" t="s">
        <v>33</v>
      </c>
      <c r="X74" s="17">
        <f>Tabla1[[#This Row],[TOTAL PAGADO]]/Tabla1[[#This Row],[Monto Adjudicado]]*100%</f>
        <v>0.19999999999999998</v>
      </c>
    </row>
    <row r="75" spans="2:24" x14ac:dyDescent="0.3">
      <c r="B75" s="5" t="s">
        <v>22</v>
      </c>
      <c r="C75" s="5">
        <v>2025</v>
      </c>
      <c r="D75" s="5" t="s">
        <v>105</v>
      </c>
      <c r="E75" s="5">
        <v>16879</v>
      </c>
      <c r="H75" s="5" t="s">
        <v>7</v>
      </c>
      <c r="I75" s="5" t="s">
        <v>25</v>
      </c>
      <c r="J75" s="5" t="s">
        <v>26</v>
      </c>
      <c r="K75" s="5" t="s">
        <v>89</v>
      </c>
      <c r="L75" s="5" t="s">
        <v>123</v>
      </c>
      <c r="M75" s="5">
        <v>200</v>
      </c>
      <c r="O75" s="7">
        <v>572688.8888798363</v>
      </c>
      <c r="P75" s="7"/>
      <c r="Q75" s="7">
        <v>591558.27</v>
      </c>
      <c r="R75" s="7">
        <f>Tabla1[[#This Row],[Monto Adjudicado]]*20%</f>
        <v>118311.65400000001</v>
      </c>
      <c r="S75" s="7"/>
      <c r="T75" s="7"/>
      <c r="U75" s="7">
        <f>Tabla1[[#This Row],[Cubicaciones]]</f>
        <v>0</v>
      </c>
      <c r="V75" s="7">
        <f>Tabla1[[#This Row],[Avance 20%]]+Tabla1[[#This Row],[Total Cubicado]]</f>
        <v>118311.65400000001</v>
      </c>
      <c r="W75" s="5" t="s">
        <v>33</v>
      </c>
      <c r="X75" s="17">
        <f>Tabla1[[#This Row],[TOTAL PAGADO]]/Tabla1[[#This Row],[Monto Adjudicado]]*100%</f>
        <v>0.2</v>
      </c>
    </row>
    <row r="76" spans="2:24" x14ac:dyDescent="0.3">
      <c r="B76" s="5" t="s">
        <v>22</v>
      </c>
      <c r="C76" s="5">
        <v>2025</v>
      </c>
      <c r="D76" s="5" t="s">
        <v>105</v>
      </c>
      <c r="E76" s="5">
        <v>16879</v>
      </c>
      <c r="H76" s="5" t="s">
        <v>7</v>
      </c>
      <c r="I76" s="5" t="s">
        <v>25</v>
      </c>
      <c r="J76" s="5" t="s">
        <v>26</v>
      </c>
      <c r="K76" s="5" t="s">
        <v>89</v>
      </c>
      <c r="L76" s="5" t="s">
        <v>124</v>
      </c>
      <c r="M76" s="5">
        <v>125</v>
      </c>
      <c r="O76" s="7">
        <v>994989.31</v>
      </c>
      <c r="P76" s="7"/>
      <c r="Q76" s="7">
        <v>1174581.71</v>
      </c>
      <c r="R76" s="7">
        <f>Tabla1[[#This Row],[Monto Adjudicado]]*20%</f>
        <v>234916.342</v>
      </c>
      <c r="S76" s="7"/>
      <c r="T76" s="7"/>
      <c r="U76" s="7">
        <f>Tabla1[[#This Row],[Cubicaciones]]</f>
        <v>0</v>
      </c>
      <c r="V76" s="7">
        <f>Tabla1[[#This Row],[Avance 20%]]+Tabla1[[#This Row],[Total Cubicado]]</f>
        <v>234916.342</v>
      </c>
      <c r="W76" s="5" t="s">
        <v>33</v>
      </c>
      <c r="X76" s="17">
        <f>Tabla1[[#This Row],[TOTAL PAGADO]]/Tabla1[[#This Row],[Monto Adjudicado]]*100%</f>
        <v>0.2</v>
      </c>
    </row>
    <row r="77" spans="2:24" x14ac:dyDescent="0.3">
      <c r="B77" s="5" t="s">
        <v>22</v>
      </c>
      <c r="C77" s="5">
        <v>2025</v>
      </c>
      <c r="D77" s="5" t="s">
        <v>105</v>
      </c>
      <c r="E77" s="5">
        <v>16879</v>
      </c>
      <c r="H77" s="5" t="s">
        <v>7</v>
      </c>
      <c r="I77" s="5" t="s">
        <v>25</v>
      </c>
      <c r="J77" s="5" t="s">
        <v>26</v>
      </c>
      <c r="K77" s="5" t="s">
        <v>89</v>
      </c>
      <c r="L77" s="5" t="s">
        <v>125</v>
      </c>
      <c r="M77" s="5">
        <v>225</v>
      </c>
      <c r="O77" s="7">
        <v>1086179.3</v>
      </c>
      <c r="P77" s="7"/>
      <c r="Q77" s="7">
        <v>1176197.75</v>
      </c>
      <c r="R77" s="7">
        <f>Tabla1[[#This Row],[Monto Adjudicado]]*20%</f>
        <v>235239.55000000002</v>
      </c>
      <c r="S77" s="7"/>
      <c r="T77" s="7"/>
      <c r="U77" s="7">
        <f>Tabla1[[#This Row],[Cubicaciones]]</f>
        <v>0</v>
      </c>
      <c r="V77" s="7">
        <f>Tabla1[[#This Row],[Avance 20%]]+Tabla1[[#This Row],[Total Cubicado]]</f>
        <v>235239.55000000002</v>
      </c>
      <c r="W77" s="5" t="s">
        <v>33</v>
      </c>
      <c r="X77" s="17">
        <f>Tabla1[[#This Row],[TOTAL PAGADO]]/Tabla1[[#This Row],[Monto Adjudicado]]*100%</f>
        <v>0.2</v>
      </c>
    </row>
    <row r="78" spans="2:24" x14ac:dyDescent="0.3">
      <c r="B78" s="5" t="s">
        <v>22</v>
      </c>
      <c r="C78" s="5">
        <v>2025</v>
      </c>
      <c r="D78" s="5" t="s">
        <v>105</v>
      </c>
      <c r="E78" s="5">
        <v>16879</v>
      </c>
      <c r="H78" s="5" t="s">
        <v>7</v>
      </c>
      <c r="I78" s="5" t="s">
        <v>25</v>
      </c>
      <c r="J78" s="5" t="s">
        <v>26</v>
      </c>
      <c r="K78" s="5" t="s">
        <v>89</v>
      </c>
      <c r="L78" s="5" t="s">
        <v>126</v>
      </c>
      <c r="M78" s="5">
        <v>225</v>
      </c>
      <c r="O78" s="7">
        <v>1075691.02</v>
      </c>
      <c r="P78" s="7"/>
      <c r="Q78" s="7">
        <v>1091934.29</v>
      </c>
      <c r="R78" s="7">
        <f>Tabla1[[#This Row],[Monto Adjudicado]]*20%</f>
        <v>218386.85800000001</v>
      </c>
      <c r="S78" s="7"/>
      <c r="T78" s="7"/>
      <c r="U78" s="7">
        <f>Tabla1[[#This Row],[Cubicaciones]]</f>
        <v>0</v>
      </c>
      <c r="V78" s="7">
        <f>Tabla1[[#This Row],[Avance 20%]]+Tabla1[[#This Row],[Total Cubicado]]</f>
        <v>218386.85800000001</v>
      </c>
      <c r="W78" s="5" t="s">
        <v>33</v>
      </c>
      <c r="X78" s="17">
        <f>Tabla1[[#This Row],[TOTAL PAGADO]]/Tabla1[[#This Row],[Monto Adjudicado]]*100%</f>
        <v>0.2</v>
      </c>
    </row>
    <row r="79" spans="2:24" x14ac:dyDescent="0.3">
      <c r="B79" s="5" t="s">
        <v>22</v>
      </c>
      <c r="C79" s="5">
        <v>2025</v>
      </c>
      <c r="D79" s="5" t="s">
        <v>105</v>
      </c>
      <c r="E79" s="5">
        <v>16879</v>
      </c>
      <c r="H79" s="5" t="s">
        <v>7</v>
      </c>
      <c r="I79" s="5" t="s">
        <v>25</v>
      </c>
      <c r="J79" s="5" t="s">
        <v>26</v>
      </c>
      <c r="K79" s="5" t="s">
        <v>89</v>
      </c>
      <c r="L79" s="5" t="s">
        <v>127</v>
      </c>
      <c r="M79" s="5">
        <v>505</v>
      </c>
      <c r="O79" s="7">
        <v>1920848.44</v>
      </c>
      <c r="P79" s="7"/>
      <c r="Q79" s="7">
        <v>2060622.85</v>
      </c>
      <c r="R79" s="7">
        <f>Tabla1[[#This Row],[Monto Adjudicado]]*20%</f>
        <v>412124.57000000007</v>
      </c>
      <c r="S79" s="7"/>
      <c r="T79" s="7"/>
      <c r="U79" s="7">
        <f>Tabla1[[#This Row],[Cubicaciones]]</f>
        <v>0</v>
      </c>
      <c r="V79" s="7">
        <f>Tabla1[[#This Row],[Avance 20%]]+Tabla1[[#This Row],[Total Cubicado]]</f>
        <v>412124.57000000007</v>
      </c>
      <c r="W79" s="5" t="s">
        <v>33</v>
      </c>
      <c r="X79" s="17">
        <f>Tabla1[[#This Row],[TOTAL PAGADO]]/Tabla1[[#This Row],[Monto Adjudicado]]*100%</f>
        <v>0.2</v>
      </c>
    </row>
    <row r="80" spans="2:24" x14ac:dyDescent="0.3">
      <c r="B80" s="5" t="s">
        <v>22</v>
      </c>
      <c r="C80" s="5">
        <v>2025</v>
      </c>
      <c r="D80" s="5" t="s">
        <v>105</v>
      </c>
      <c r="E80" s="5">
        <v>16879</v>
      </c>
      <c r="H80" s="5" t="s">
        <v>7</v>
      </c>
      <c r="I80" s="5" t="s">
        <v>107</v>
      </c>
      <c r="J80" s="5" t="s">
        <v>26</v>
      </c>
      <c r="K80" s="5" t="s">
        <v>89</v>
      </c>
      <c r="L80" s="5" t="s">
        <v>128</v>
      </c>
      <c r="M80" s="5">
        <v>1200</v>
      </c>
      <c r="O80" s="7">
        <v>3179737.7087980006</v>
      </c>
      <c r="P80" s="7"/>
      <c r="Q80" s="7">
        <v>2861763.94</v>
      </c>
      <c r="R80" s="7">
        <f>Tabla1[[#This Row],[Monto Adjudicado]]*20%</f>
        <v>572352.78800000006</v>
      </c>
      <c r="S80" s="7"/>
      <c r="T80" s="7"/>
      <c r="U80" s="7">
        <f>Tabla1[[#This Row],[Cubicaciones]]</f>
        <v>0</v>
      </c>
      <c r="V80" s="7">
        <f>Tabla1[[#This Row],[Avance 20%]]+Tabla1[[#This Row],[Total Cubicado]]</f>
        <v>572352.78800000006</v>
      </c>
      <c r="W80" s="5" t="s">
        <v>33</v>
      </c>
      <c r="X80" s="17">
        <f>Tabla1[[#This Row],[TOTAL PAGADO]]/Tabla1[[#This Row],[Monto Adjudicado]]*100%</f>
        <v>0.2</v>
      </c>
    </row>
    <row r="81" spans="2:24" x14ac:dyDescent="0.3">
      <c r="B81" s="5" t="s">
        <v>22</v>
      </c>
      <c r="C81" s="5">
        <v>2025</v>
      </c>
      <c r="D81" s="5" t="s">
        <v>105</v>
      </c>
      <c r="E81" s="5">
        <v>16879</v>
      </c>
      <c r="H81" s="5" t="s">
        <v>7</v>
      </c>
      <c r="I81" s="5" t="s">
        <v>107</v>
      </c>
      <c r="J81" s="5" t="s">
        <v>26</v>
      </c>
      <c r="K81" s="5" t="s">
        <v>89</v>
      </c>
      <c r="L81" s="5" t="s">
        <v>123</v>
      </c>
      <c r="M81" s="5">
        <v>200</v>
      </c>
      <c r="O81" s="7">
        <v>3126304.2513624178</v>
      </c>
      <c r="P81" s="7"/>
      <c r="Q81" s="7">
        <v>2813673.83</v>
      </c>
      <c r="R81" s="7">
        <f>Tabla1[[#This Row],[Monto Adjudicado]]*20%</f>
        <v>562734.76600000006</v>
      </c>
      <c r="S81" s="7"/>
      <c r="T81" s="7"/>
      <c r="U81" s="7">
        <f>Tabla1[[#This Row],[Cubicaciones]]</f>
        <v>0</v>
      </c>
      <c r="V81" s="7">
        <f>Tabla1[[#This Row],[Avance 20%]]+Tabla1[[#This Row],[Total Cubicado]]</f>
        <v>562734.76600000006</v>
      </c>
      <c r="W81" s="5" t="s">
        <v>33</v>
      </c>
      <c r="X81" s="17">
        <f>Tabla1[[#This Row],[TOTAL PAGADO]]/Tabla1[[#This Row],[Monto Adjudicado]]*100%</f>
        <v>0.2</v>
      </c>
    </row>
    <row r="82" spans="2:24" x14ac:dyDescent="0.3">
      <c r="B82" s="5" t="s">
        <v>22</v>
      </c>
      <c r="C82" s="5">
        <v>2025</v>
      </c>
      <c r="D82" s="5" t="s">
        <v>105</v>
      </c>
      <c r="E82" s="5">
        <v>16879</v>
      </c>
      <c r="H82" s="5" t="s">
        <v>7</v>
      </c>
      <c r="I82" s="5" t="s">
        <v>25</v>
      </c>
      <c r="J82" s="5" t="s">
        <v>26</v>
      </c>
      <c r="L82" s="5" t="s">
        <v>129</v>
      </c>
      <c r="M82" s="5">
        <v>275</v>
      </c>
      <c r="O82" s="7">
        <v>2025719.18</v>
      </c>
      <c r="P82" s="7"/>
      <c r="Q82" s="7">
        <v>2009340.36</v>
      </c>
      <c r="R82" s="7">
        <f>Tabla1[[#This Row],[Monto Adjudicado]]*20%</f>
        <v>401868.07200000004</v>
      </c>
      <c r="S82" s="7"/>
      <c r="T82" s="7"/>
      <c r="U82" s="7">
        <f>Tabla1[[#This Row],[Cubicaciones]]</f>
        <v>0</v>
      </c>
      <c r="V82" s="7">
        <f>Tabla1[[#This Row],[Avance 20%]]+Tabla1[[#This Row],[Total Cubicado]]</f>
        <v>401868.07200000004</v>
      </c>
      <c r="W82" s="5" t="s">
        <v>33</v>
      </c>
      <c r="X82" s="17">
        <f>Tabla1[[#This Row],[TOTAL PAGADO]]/Tabla1[[#This Row],[Monto Adjudicado]]*100%</f>
        <v>0.2</v>
      </c>
    </row>
    <row r="83" spans="2:24" x14ac:dyDescent="0.3">
      <c r="B83" s="5" t="s">
        <v>22</v>
      </c>
      <c r="C83" s="5">
        <v>2025</v>
      </c>
      <c r="D83" s="5" t="s">
        <v>105</v>
      </c>
      <c r="E83" s="5">
        <v>16879</v>
      </c>
      <c r="H83" s="5" t="s">
        <v>7</v>
      </c>
      <c r="I83" s="5" t="s">
        <v>25</v>
      </c>
      <c r="J83" s="5" t="s">
        <v>26</v>
      </c>
      <c r="L83" s="5" t="s">
        <v>130</v>
      </c>
      <c r="M83" s="5">
        <v>280</v>
      </c>
      <c r="O83" s="7">
        <v>2535373.4900000002</v>
      </c>
      <c r="P83" s="7"/>
      <c r="Q83" s="7">
        <v>2584327.9700000002</v>
      </c>
      <c r="R83" s="7">
        <f>Tabla1[[#This Row],[Monto Adjudicado]]*20%</f>
        <v>516865.59400000004</v>
      </c>
      <c r="S83" s="7"/>
      <c r="T83" s="7"/>
      <c r="U83" s="7">
        <f>Tabla1[[#This Row],[Cubicaciones]]</f>
        <v>0</v>
      </c>
      <c r="V83" s="7">
        <f>Tabla1[[#This Row],[Avance 20%]]+Tabla1[[#This Row],[Total Cubicado]]</f>
        <v>516865.59400000004</v>
      </c>
      <c r="W83" s="5" t="s">
        <v>33</v>
      </c>
      <c r="X83" s="17">
        <f>Tabla1[[#This Row],[TOTAL PAGADO]]/Tabla1[[#This Row],[Monto Adjudicado]]*100%</f>
        <v>0.2</v>
      </c>
    </row>
    <row r="84" spans="2:24" x14ac:dyDescent="0.3">
      <c r="B84" s="5" t="s">
        <v>22</v>
      </c>
      <c r="C84" s="5">
        <v>2025</v>
      </c>
      <c r="D84" s="5" t="s">
        <v>105</v>
      </c>
      <c r="E84" s="5">
        <v>16879</v>
      </c>
      <c r="H84" s="5" t="s">
        <v>7</v>
      </c>
      <c r="I84" s="5" t="s">
        <v>25</v>
      </c>
      <c r="J84" s="5" t="s">
        <v>26</v>
      </c>
      <c r="L84" s="5" t="s">
        <v>131</v>
      </c>
      <c r="M84" s="5">
        <v>125</v>
      </c>
      <c r="O84" s="7">
        <v>565528.51</v>
      </c>
      <c r="P84" s="7"/>
      <c r="Q84" s="7">
        <v>581155.59</v>
      </c>
      <c r="R84" s="7">
        <f>Tabla1[[#This Row],[Monto Adjudicado]]*20%</f>
        <v>116231.118</v>
      </c>
      <c r="S84" s="7"/>
      <c r="T84" s="7"/>
      <c r="U84" s="7">
        <f>Tabla1[[#This Row],[Cubicaciones]]</f>
        <v>0</v>
      </c>
      <c r="V84" s="7">
        <f>Tabla1[[#This Row],[Avance 20%]]+Tabla1[[#This Row],[Total Cubicado]]</f>
        <v>116231.118</v>
      </c>
      <c r="W84" s="5" t="s">
        <v>33</v>
      </c>
      <c r="X84" s="17">
        <f>Tabla1[[#This Row],[TOTAL PAGADO]]/Tabla1[[#This Row],[Monto Adjudicado]]*100%</f>
        <v>0.2</v>
      </c>
    </row>
    <row r="85" spans="2:24" x14ac:dyDescent="0.3">
      <c r="B85" s="5" t="s">
        <v>22</v>
      </c>
      <c r="C85" s="5">
        <v>2025</v>
      </c>
      <c r="D85" s="5" t="s">
        <v>105</v>
      </c>
      <c r="E85" s="5">
        <v>16879</v>
      </c>
      <c r="H85" s="5" t="s">
        <v>7</v>
      </c>
      <c r="I85" s="5" t="s">
        <v>25</v>
      </c>
      <c r="J85" s="5" t="s">
        <v>26</v>
      </c>
      <c r="L85" s="5" t="s">
        <v>132</v>
      </c>
      <c r="M85" s="5">
        <v>100</v>
      </c>
      <c r="O85" s="7">
        <v>693468.93</v>
      </c>
      <c r="P85" s="7"/>
      <c r="Q85" s="7">
        <v>671509.05</v>
      </c>
      <c r="R85" s="7">
        <f>Tabla1[[#This Row],[Monto Adjudicado]]*20%</f>
        <v>134301.81000000003</v>
      </c>
      <c r="S85" s="7"/>
      <c r="T85" s="7"/>
      <c r="U85" s="7">
        <f>Tabla1[[#This Row],[Cubicaciones]]</f>
        <v>0</v>
      </c>
      <c r="V85" s="7">
        <f>Tabla1[[#This Row],[Avance 20%]]+Tabla1[[#This Row],[Total Cubicado]]</f>
        <v>134301.81000000003</v>
      </c>
      <c r="W85" s="5" t="s">
        <v>33</v>
      </c>
      <c r="X85" s="17">
        <f>Tabla1[[#This Row],[TOTAL PAGADO]]/Tabla1[[#This Row],[Monto Adjudicado]]*100%</f>
        <v>0.20000000000000004</v>
      </c>
    </row>
    <row r="86" spans="2:24" x14ac:dyDescent="0.3">
      <c r="B86" s="5" t="s">
        <v>22</v>
      </c>
      <c r="C86" s="5">
        <v>2025</v>
      </c>
      <c r="D86" s="5" t="s">
        <v>105</v>
      </c>
      <c r="E86" s="5">
        <v>16879</v>
      </c>
      <c r="H86" s="5" t="s">
        <v>7</v>
      </c>
      <c r="I86" s="5" t="s">
        <v>25</v>
      </c>
      <c r="J86" s="5" t="s">
        <v>26</v>
      </c>
      <c r="L86" s="5" t="s">
        <v>133</v>
      </c>
      <c r="M86" s="5">
        <v>1000</v>
      </c>
      <c r="O86" s="7">
        <v>2094659.12</v>
      </c>
      <c r="P86" s="7"/>
      <c r="Q86" s="7">
        <v>2214571.5</v>
      </c>
      <c r="R86" s="7">
        <f>Tabla1[[#This Row],[Monto Adjudicado]]*20%</f>
        <v>442914.30000000005</v>
      </c>
      <c r="S86" s="7"/>
      <c r="T86" s="7"/>
      <c r="U86" s="7">
        <f>Tabla1[[#This Row],[Cubicaciones]]</f>
        <v>0</v>
      </c>
      <c r="V86" s="7">
        <f>Tabla1[[#This Row],[Avance 20%]]+Tabla1[[#This Row],[Total Cubicado]]</f>
        <v>442914.30000000005</v>
      </c>
      <c r="W86" s="5" t="s">
        <v>33</v>
      </c>
      <c r="X86" s="17">
        <f>Tabla1[[#This Row],[TOTAL PAGADO]]/Tabla1[[#This Row],[Monto Adjudicado]]*100%</f>
        <v>0.2</v>
      </c>
    </row>
    <row r="87" spans="2:24" x14ac:dyDescent="0.3">
      <c r="B87" s="5" t="s">
        <v>22</v>
      </c>
      <c r="C87" s="5">
        <v>2025</v>
      </c>
      <c r="D87" s="5" t="s">
        <v>105</v>
      </c>
      <c r="E87" s="5">
        <v>16879</v>
      </c>
      <c r="H87" s="5" t="s">
        <v>7</v>
      </c>
      <c r="I87" s="5" t="s">
        <v>25</v>
      </c>
      <c r="J87" s="5" t="s">
        <v>26</v>
      </c>
      <c r="L87" s="5" t="s">
        <v>134</v>
      </c>
      <c r="M87" s="5">
        <v>75</v>
      </c>
      <c r="O87" s="7">
        <v>1228598.75</v>
      </c>
      <c r="P87" s="7"/>
      <c r="Q87" s="7">
        <v>1298144.8700000001</v>
      </c>
      <c r="R87" s="7">
        <f>Tabla1[[#This Row],[Monto Adjudicado]]*20%</f>
        <v>259628.97400000005</v>
      </c>
      <c r="S87" s="7"/>
      <c r="T87" s="7"/>
      <c r="U87" s="7">
        <f>Tabla1[[#This Row],[Cubicaciones]]</f>
        <v>0</v>
      </c>
      <c r="V87" s="7">
        <f>Tabla1[[#This Row],[Avance 20%]]+Tabla1[[#This Row],[Total Cubicado]]</f>
        <v>259628.97400000005</v>
      </c>
      <c r="W87" s="5" t="s">
        <v>33</v>
      </c>
      <c r="X87" s="17">
        <f>Tabla1[[#This Row],[TOTAL PAGADO]]/Tabla1[[#This Row],[Monto Adjudicado]]*100%</f>
        <v>0.2</v>
      </c>
    </row>
    <row r="88" spans="2:24" x14ac:dyDescent="0.3">
      <c r="B88" s="5" t="s">
        <v>22</v>
      </c>
      <c r="C88" s="5">
        <v>2025</v>
      </c>
      <c r="D88" s="5" t="s">
        <v>105</v>
      </c>
      <c r="E88" s="5">
        <v>16879</v>
      </c>
      <c r="H88" s="5" t="s">
        <v>7</v>
      </c>
      <c r="I88" s="5" t="s">
        <v>25</v>
      </c>
      <c r="J88" s="5" t="s">
        <v>26</v>
      </c>
      <c r="L88" s="5" t="s">
        <v>135</v>
      </c>
      <c r="M88" s="5">
        <v>30</v>
      </c>
      <c r="O88" s="7">
        <v>2295873.41</v>
      </c>
      <c r="P88" s="7"/>
      <c r="Q88" s="7">
        <v>2424188.91</v>
      </c>
      <c r="R88" s="7">
        <f>Tabla1[[#This Row],[Monto Adjudicado]]*20%</f>
        <v>484837.78200000006</v>
      </c>
      <c r="S88" s="7"/>
      <c r="T88" s="7"/>
      <c r="U88" s="7">
        <f>Tabla1[[#This Row],[Cubicaciones]]</f>
        <v>0</v>
      </c>
      <c r="V88" s="7">
        <f>Tabla1[[#This Row],[Avance 20%]]+Tabla1[[#This Row],[Total Cubicado]]</f>
        <v>484837.78200000006</v>
      </c>
      <c r="W88" s="5" t="s">
        <v>33</v>
      </c>
      <c r="X88" s="17">
        <f>Tabla1[[#This Row],[TOTAL PAGADO]]/Tabla1[[#This Row],[Monto Adjudicado]]*100%</f>
        <v>0.2</v>
      </c>
    </row>
    <row r="89" spans="2:24" x14ac:dyDescent="0.3">
      <c r="B89" s="5" t="s">
        <v>22</v>
      </c>
      <c r="C89" s="5">
        <v>2025</v>
      </c>
      <c r="D89" s="5" t="s">
        <v>105</v>
      </c>
      <c r="E89" s="5">
        <v>16879</v>
      </c>
      <c r="H89" s="5" t="s">
        <v>7</v>
      </c>
      <c r="I89" s="5" t="s">
        <v>107</v>
      </c>
      <c r="J89" s="5" t="s">
        <v>26</v>
      </c>
      <c r="L89" s="5" t="s">
        <v>136</v>
      </c>
      <c r="M89" s="5">
        <v>1000</v>
      </c>
      <c r="O89" s="7">
        <v>3126304.2513624178</v>
      </c>
      <c r="P89" s="7"/>
      <c r="Q89" s="7">
        <v>2813673.83</v>
      </c>
      <c r="R89" s="7">
        <f>Tabla1[[#This Row],[Monto Adjudicado]]*20%</f>
        <v>562734.76600000006</v>
      </c>
      <c r="S89" s="7"/>
      <c r="T89" s="7"/>
      <c r="U89" s="7">
        <f>Tabla1[[#This Row],[Cubicaciones]]</f>
        <v>0</v>
      </c>
      <c r="V89" s="7">
        <f>Tabla1[[#This Row],[Avance 20%]]+Tabla1[[#This Row],[Total Cubicado]]</f>
        <v>562734.76600000006</v>
      </c>
      <c r="W89" s="5" t="s">
        <v>33</v>
      </c>
      <c r="X89" s="17">
        <f>Tabla1[[#This Row],[TOTAL PAGADO]]/Tabla1[[#This Row],[Monto Adjudicado]]*100%</f>
        <v>0.2</v>
      </c>
    </row>
    <row r="90" spans="2:24" x14ac:dyDescent="0.3">
      <c r="B90" s="5" t="s">
        <v>22</v>
      </c>
      <c r="C90" s="5">
        <v>2025</v>
      </c>
      <c r="D90" s="5" t="s">
        <v>105</v>
      </c>
      <c r="E90" s="5">
        <v>16879</v>
      </c>
      <c r="H90" s="5" t="s">
        <v>7</v>
      </c>
      <c r="I90" s="5" t="s">
        <v>107</v>
      </c>
      <c r="J90" s="5" t="s">
        <v>26</v>
      </c>
      <c r="L90" s="5" t="s">
        <v>134</v>
      </c>
      <c r="M90" s="5">
        <v>75</v>
      </c>
      <c r="O90" s="7">
        <v>3126304.2513624178</v>
      </c>
      <c r="P90" s="7"/>
      <c r="Q90" s="7">
        <v>2813673.83</v>
      </c>
      <c r="R90" s="7">
        <f>Tabla1[[#This Row],[Monto Adjudicado]]*20%</f>
        <v>562734.76600000006</v>
      </c>
      <c r="S90" s="7"/>
      <c r="T90" s="7"/>
      <c r="U90" s="7">
        <f>Tabla1[[#This Row],[Cubicaciones]]</f>
        <v>0</v>
      </c>
      <c r="V90" s="7">
        <f>Tabla1[[#This Row],[Avance 20%]]+Tabla1[[#This Row],[Total Cubicado]]</f>
        <v>562734.76600000006</v>
      </c>
      <c r="W90" s="5" t="s">
        <v>33</v>
      </c>
      <c r="X90" s="17">
        <f>Tabla1[[#This Row],[TOTAL PAGADO]]/Tabla1[[#This Row],[Monto Adjudicado]]*100%</f>
        <v>0.2</v>
      </c>
    </row>
    <row r="91" spans="2:24" x14ac:dyDescent="0.3">
      <c r="B91" s="5" t="s">
        <v>22</v>
      </c>
      <c r="C91" s="5">
        <v>2025</v>
      </c>
      <c r="D91" s="5" t="s">
        <v>105</v>
      </c>
      <c r="E91" s="5">
        <v>16879</v>
      </c>
      <c r="F91" s="5" t="s">
        <v>24</v>
      </c>
      <c r="G91" s="5">
        <v>5</v>
      </c>
      <c r="H91" s="5" t="s">
        <v>7</v>
      </c>
      <c r="I91" s="5" t="s">
        <v>107</v>
      </c>
      <c r="J91" s="5" t="s">
        <v>26</v>
      </c>
      <c r="K91" s="5" t="s">
        <v>27</v>
      </c>
      <c r="L91" s="5" t="s">
        <v>137</v>
      </c>
      <c r="M91" s="5">
        <v>380</v>
      </c>
      <c r="O91" s="7">
        <v>3126304.2513624178</v>
      </c>
      <c r="P91" s="7"/>
      <c r="Q91" s="7">
        <v>2813673.83</v>
      </c>
      <c r="R91" s="7">
        <f>Tabla1[[#This Row],[Monto Adjudicado]]*20%</f>
        <v>562734.76600000006</v>
      </c>
      <c r="S91" s="7"/>
      <c r="T91" s="7"/>
      <c r="U91" s="7">
        <f>Tabla1[[#This Row],[Cubicaciones]]</f>
        <v>0</v>
      </c>
      <c r="V91" s="7">
        <f>Tabla1[[#This Row],[Avance 20%]]+Tabla1[[#This Row],[Total Cubicado]]</f>
        <v>562734.76600000006</v>
      </c>
      <c r="W91" s="5" t="s">
        <v>33</v>
      </c>
      <c r="X91" s="17">
        <f>Tabla1[[#This Row],[TOTAL PAGADO]]/Tabla1[[#This Row],[Monto Adjudicado]]*100%</f>
        <v>0.2</v>
      </c>
    </row>
    <row r="92" spans="2:24" x14ac:dyDescent="0.3">
      <c r="B92" s="5" t="s">
        <v>22</v>
      </c>
      <c r="C92" s="5">
        <v>2025</v>
      </c>
      <c r="D92" s="5" t="s">
        <v>105</v>
      </c>
      <c r="E92" s="5">
        <v>16879</v>
      </c>
      <c r="F92" s="5" t="s">
        <v>24</v>
      </c>
      <c r="G92" s="5">
        <v>6</v>
      </c>
      <c r="H92" s="5" t="s">
        <v>7</v>
      </c>
      <c r="I92" s="5" t="s">
        <v>107</v>
      </c>
      <c r="J92" s="5" t="s">
        <v>26</v>
      </c>
      <c r="K92" s="5" t="s">
        <v>27</v>
      </c>
      <c r="L92" s="5" t="s">
        <v>138</v>
      </c>
      <c r="M92" s="5">
        <v>250</v>
      </c>
      <c r="O92" s="7">
        <v>3126304.2513624178</v>
      </c>
      <c r="P92" s="7"/>
      <c r="Q92" s="7">
        <v>2813673.83</v>
      </c>
      <c r="R92" s="7">
        <f>Tabla1[[#This Row],[Monto Adjudicado]]*20%</f>
        <v>562734.76600000006</v>
      </c>
      <c r="S92" s="7"/>
      <c r="T92" s="7"/>
      <c r="U92" s="7">
        <f>Tabla1[[#This Row],[Cubicaciones]]</f>
        <v>0</v>
      </c>
      <c r="V92" s="7">
        <f>Tabla1[[#This Row],[Avance 20%]]+Tabla1[[#This Row],[Total Cubicado]]</f>
        <v>562734.76600000006</v>
      </c>
      <c r="W92" s="5" t="s">
        <v>33</v>
      </c>
      <c r="X92" s="17">
        <f>Tabla1[[#This Row],[TOTAL PAGADO]]/Tabla1[[#This Row],[Monto Adjudicado]]*100%</f>
        <v>0.2</v>
      </c>
    </row>
    <row r="93" spans="2:24" x14ac:dyDescent="0.3">
      <c r="C93" s="5">
        <v>2026</v>
      </c>
      <c r="D93" s="5" t="s">
        <v>139</v>
      </c>
      <c r="E93" s="5">
        <v>16879</v>
      </c>
      <c r="H93" s="5" t="s">
        <v>7</v>
      </c>
      <c r="I93" s="10" t="s">
        <v>25</v>
      </c>
      <c r="J93" s="5" t="s">
        <v>26</v>
      </c>
      <c r="K93" s="5" t="s">
        <v>89</v>
      </c>
      <c r="L93" s="5" t="s">
        <v>140</v>
      </c>
      <c r="M93" s="5">
        <v>315</v>
      </c>
      <c r="O93" s="7">
        <v>1322168.2679789499</v>
      </c>
      <c r="P93" s="7"/>
      <c r="Q93" s="7">
        <v>1133454.3600000001</v>
      </c>
      <c r="R93" s="7"/>
      <c r="S93" s="7"/>
      <c r="T93" s="7"/>
      <c r="U93" s="7">
        <f>Tabla1[[#This Row],[Cubicaciones]]</f>
        <v>0</v>
      </c>
      <c r="V93" s="7">
        <f>Tabla1[[#This Row],[Avance 20%]]+Tabla1[[#This Row],[Total Cubicado]]</f>
        <v>0</v>
      </c>
      <c r="W93" s="5" t="s">
        <v>94</v>
      </c>
      <c r="X93" s="17">
        <f>Tabla1[[#This Row],[TOTAL PAGADO]]/Tabla1[[#This Row],[Monto Adjudicado]]*100%</f>
        <v>0</v>
      </c>
    </row>
    <row r="94" spans="2:24" x14ac:dyDescent="0.3">
      <c r="C94" s="5">
        <v>2026</v>
      </c>
      <c r="D94" s="5" t="s">
        <v>139</v>
      </c>
      <c r="E94" s="5">
        <v>16879</v>
      </c>
      <c r="H94" s="5" t="s">
        <v>7</v>
      </c>
      <c r="I94" s="10" t="s">
        <v>25</v>
      </c>
      <c r="J94" s="5" t="s">
        <v>26</v>
      </c>
      <c r="K94" s="5" t="s">
        <v>89</v>
      </c>
      <c r="L94" s="5" t="s">
        <v>141</v>
      </c>
      <c r="M94" s="5">
        <v>200</v>
      </c>
      <c r="O94" s="7">
        <v>1369499.0316022099</v>
      </c>
      <c r="P94" s="7"/>
      <c r="Q94" s="7">
        <v>1042125.5</v>
      </c>
      <c r="R94" s="7"/>
      <c r="S94" s="7"/>
      <c r="T94" s="7"/>
      <c r="U94" s="7">
        <f>Tabla1[[#This Row],[Cubicaciones]]</f>
        <v>0</v>
      </c>
      <c r="V94" s="7">
        <f>Tabla1[[#This Row],[Avance 20%]]+Tabla1[[#This Row],[Total Cubicado]]</f>
        <v>0</v>
      </c>
      <c r="W94" s="5" t="s">
        <v>94</v>
      </c>
      <c r="X94" s="17">
        <f>Tabla1[[#This Row],[TOTAL PAGADO]]/Tabla1[[#This Row],[Monto Adjudicado]]*100%</f>
        <v>0</v>
      </c>
    </row>
    <row r="95" spans="2:24" x14ac:dyDescent="0.3">
      <c r="C95" s="5">
        <v>2026</v>
      </c>
      <c r="D95" s="5" t="s">
        <v>139</v>
      </c>
      <c r="E95" s="5">
        <v>16879</v>
      </c>
      <c r="H95" s="5" t="s">
        <v>7</v>
      </c>
      <c r="I95" s="10" t="s">
        <v>25</v>
      </c>
      <c r="J95" s="5" t="s">
        <v>26</v>
      </c>
      <c r="K95" s="5" t="s">
        <v>89</v>
      </c>
      <c r="L95" s="5" t="s">
        <v>142</v>
      </c>
      <c r="M95" s="5">
        <v>225</v>
      </c>
      <c r="O95" s="7">
        <v>1283296.94</v>
      </c>
      <c r="P95" s="7"/>
      <c r="Q95" s="7">
        <v>970851.7</v>
      </c>
      <c r="R95" s="7"/>
      <c r="S95" s="7"/>
      <c r="T95" s="7"/>
      <c r="U95" s="7">
        <f>Tabla1[[#This Row],[Cubicaciones]]</f>
        <v>0</v>
      </c>
      <c r="V95" s="7">
        <f>Tabla1[[#This Row],[Avance 20%]]+Tabla1[[#This Row],[Total Cubicado]]</f>
        <v>0</v>
      </c>
      <c r="W95" s="5" t="s">
        <v>94</v>
      </c>
      <c r="X95" s="17">
        <f>Tabla1[[#This Row],[TOTAL PAGADO]]/Tabla1[[#This Row],[Monto Adjudicado]]*100%</f>
        <v>0</v>
      </c>
    </row>
    <row r="96" spans="2:24" x14ac:dyDescent="0.3">
      <c r="C96" s="5">
        <v>2026</v>
      </c>
      <c r="D96" s="5" t="s">
        <v>139</v>
      </c>
      <c r="E96" s="5">
        <v>16879</v>
      </c>
      <c r="H96" s="5" t="s">
        <v>7</v>
      </c>
      <c r="I96" s="10" t="s">
        <v>25</v>
      </c>
      <c r="J96" s="5" t="s">
        <v>26</v>
      </c>
      <c r="K96" s="5" t="s">
        <v>89</v>
      </c>
      <c r="L96" s="5" t="s">
        <v>143</v>
      </c>
      <c r="M96" s="5">
        <v>800</v>
      </c>
      <c r="O96" s="7">
        <v>3364579.1399999997</v>
      </c>
      <c r="P96" s="7"/>
      <c r="Q96" s="7">
        <v>3268564.92</v>
      </c>
      <c r="R96" s="7"/>
      <c r="S96" s="7"/>
      <c r="T96" s="7"/>
      <c r="U96" s="7">
        <f>Tabla1[[#This Row],[Cubicaciones]]</f>
        <v>0</v>
      </c>
      <c r="V96" s="7">
        <f>Tabla1[[#This Row],[Avance 20%]]+Tabla1[[#This Row],[Total Cubicado]]</f>
        <v>0</v>
      </c>
      <c r="W96" s="5" t="s">
        <v>94</v>
      </c>
      <c r="X96" s="17">
        <f>Tabla1[[#This Row],[TOTAL PAGADO]]/Tabla1[[#This Row],[Monto Adjudicado]]*100%</f>
        <v>0</v>
      </c>
    </row>
    <row r="97" spans="1:24" x14ac:dyDescent="0.3">
      <c r="C97" s="5">
        <v>2026</v>
      </c>
      <c r="D97" s="5" t="s">
        <v>139</v>
      </c>
      <c r="E97" s="5">
        <v>16879</v>
      </c>
      <c r="H97" s="5" t="s">
        <v>7</v>
      </c>
      <c r="I97" s="10" t="s">
        <v>25</v>
      </c>
      <c r="J97" s="5" t="s">
        <v>26</v>
      </c>
      <c r="K97" s="5" t="s">
        <v>27</v>
      </c>
      <c r="L97" s="5" t="s">
        <v>144</v>
      </c>
      <c r="M97" s="5">
        <v>200</v>
      </c>
      <c r="O97" s="7">
        <v>1900495.7</v>
      </c>
      <c r="P97" s="7"/>
      <c r="Q97" s="7">
        <v>1462416.01</v>
      </c>
      <c r="R97" s="7"/>
      <c r="S97" s="7"/>
      <c r="T97" s="7"/>
      <c r="U97" s="7">
        <f>Tabla1[[#This Row],[Cubicaciones]]</f>
        <v>0</v>
      </c>
      <c r="V97" s="7">
        <f>Tabla1[[#This Row],[Avance 20%]]+Tabla1[[#This Row],[Total Cubicado]]</f>
        <v>0</v>
      </c>
      <c r="W97" s="5" t="s">
        <v>94</v>
      </c>
      <c r="X97" s="17">
        <f>Tabla1[[#This Row],[TOTAL PAGADO]]/Tabla1[[#This Row],[Monto Adjudicado]]*100%</f>
        <v>0</v>
      </c>
    </row>
    <row r="98" spans="1:24" x14ac:dyDescent="0.3">
      <c r="C98" s="5">
        <v>2026</v>
      </c>
      <c r="D98" s="5" t="s">
        <v>139</v>
      </c>
      <c r="E98" s="5">
        <v>16879</v>
      </c>
      <c r="H98" s="5" t="s">
        <v>7</v>
      </c>
      <c r="I98" s="10" t="s">
        <v>25</v>
      </c>
      <c r="J98" s="5" t="s">
        <v>26</v>
      </c>
      <c r="K98" s="5" t="s">
        <v>27</v>
      </c>
      <c r="L98" s="5" t="s">
        <v>145</v>
      </c>
      <c r="M98" s="5">
        <v>400</v>
      </c>
      <c r="O98" s="7">
        <v>3038240.0599999996</v>
      </c>
      <c r="P98" s="7"/>
      <c r="Q98" s="7">
        <v>2808124.01</v>
      </c>
      <c r="R98" s="7"/>
      <c r="S98" s="7"/>
      <c r="T98" s="7"/>
      <c r="U98" s="7">
        <f>Tabla1[[#This Row],[Cubicaciones]]</f>
        <v>0</v>
      </c>
      <c r="V98" s="7">
        <f>Tabla1[[#This Row],[Avance 20%]]+Tabla1[[#This Row],[Total Cubicado]]</f>
        <v>0</v>
      </c>
      <c r="W98" s="5" t="s">
        <v>94</v>
      </c>
      <c r="X98" s="17">
        <f>Tabla1[[#This Row],[TOTAL PAGADO]]/Tabla1[[#This Row],[Monto Adjudicado]]*100%</f>
        <v>0</v>
      </c>
    </row>
    <row r="99" spans="1:24" x14ac:dyDescent="0.3">
      <c r="A99" s="5" t="s">
        <v>146</v>
      </c>
      <c r="D99" s="5" t="s">
        <v>139</v>
      </c>
      <c r="E99" s="5">
        <v>16844</v>
      </c>
      <c r="H99" s="5" t="s">
        <v>186</v>
      </c>
      <c r="I99" s="5" t="s">
        <v>147</v>
      </c>
      <c r="J99" s="5" t="s">
        <v>20</v>
      </c>
      <c r="O99" s="6">
        <v>4960000</v>
      </c>
      <c r="P99" s="6"/>
      <c r="Q99" s="7">
        <v>0</v>
      </c>
      <c r="R99" s="7"/>
      <c r="S99" s="7"/>
      <c r="T99" s="7"/>
      <c r="U99" s="7">
        <f>Tabla1[[#This Row],[Cubicaciones]]</f>
        <v>0</v>
      </c>
      <c r="V99" s="7">
        <f>Tabla1[[#This Row],[Avance 20%]]+Tabla1[[#This Row],[Total Cubicado]]</f>
        <v>0</v>
      </c>
      <c r="W99" s="5" t="s">
        <v>148</v>
      </c>
      <c r="X99" s="17">
        <v>0</v>
      </c>
    </row>
    <row r="100" spans="1:24" x14ac:dyDescent="0.3">
      <c r="A100" s="5" t="s">
        <v>149</v>
      </c>
      <c r="D100" s="5" t="s">
        <v>139</v>
      </c>
      <c r="E100" s="5">
        <v>16340</v>
      </c>
      <c r="H100" s="5" t="s">
        <v>186</v>
      </c>
      <c r="I100" s="5" t="s">
        <v>150</v>
      </c>
      <c r="J100" s="5" t="s">
        <v>20</v>
      </c>
      <c r="O100" s="6">
        <v>68436.62</v>
      </c>
      <c r="P100" s="6"/>
      <c r="Q100" s="7">
        <v>0</v>
      </c>
      <c r="R100" s="7"/>
      <c r="S100" s="7"/>
      <c r="T100" s="7"/>
      <c r="U100" s="7">
        <f>Tabla1[[#This Row],[Cubicaciones]]</f>
        <v>0</v>
      </c>
      <c r="V100" s="7">
        <f>Tabla1[[#This Row],[Avance 20%]]+Tabla1[[#This Row],[Total Cubicado]]</f>
        <v>0</v>
      </c>
      <c r="W100" s="5" t="s">
        <v>151</v>
      </c>
      <c r="X100" s="17">
        <v>0</v>
      </c>
    </row>
    <row r="101" spans="1:24" x14ac:dyDescent="0.3">
      <c r="A101" s="5" t="s">
        <v>152</v>
      </c>
      <c r="D101" s="5" t="s">
        <v>139</v>
      </c>
      <c r="E101" s="5">
        <v>16340</v>
      </c>
      <c r="H101" s="5" t="s">
        <v>186</v>
      </c>
      <c r="I101" s="5" t="s">
        <v>153</v>
      </c>
      <c r="J101" s="5" t="s">
        <v>20</v>
      </c>
      <c r="O101" s="6">
        <v>46802.720000000001</v>
      </c>
      <c r="P101" s="6"/>
      <c r="Q101" s="7">
        <v>0</v>
      </c>
      <c r="R101" s="7"/>
      <c r="S101" s="7"/>
      <c r="T101" s="7"/>
      <c r="U101" s="7">
        <f>Tabla1[[#This Row],[Cubicaciones]]</f>
        <v>0</v>
      </c>
      <c r="V101" s="7">
        <f>Tabla1[[#This Row],[Avance 20%]]+Tabla1[[#This Row],[Total Cubicado]]</f>
        <v>0</v>
      </c>
      <c r="W101" s="5" t="s">
        <v>151</v>
      </c>
      <c r="X101" s="17">
        <v>0</v>
      </c>
    </row>
    <row r="102" spans="1:24" x14ac:dyDescent="0.3">
      <c r="A102" s="5" t="s">
        <v>154</v>
      </c>
      <c r="D102" s="5" t="s">
        <v>139</v>
      </c>
      <c r="E102" s="5">
        <v>16844</v>
      </c>
      <c r="H102" s="5" t="s">
        <v>186</v>
      </c>
      <c r="I102" s="5" t="s">
        <v>155</v>
      </c>
      <c r="J102" s="5" t="s">
        <v>20</v>
      </c>
      <c r="O102" s="6">
        <v>10719840</v>
      </c>
      <c r="P102" s="6"/>
      <c r="Q102" s="7">
        <v>0</v>
      </c>
      <c r="R102" s="7"/>
      <c r="S102" s="7"/>
      <c r="T102" s="7"/>
      <c r="U102" s="7">
        <f>Tabla1[[#This Row],[Cubicaciones]]</f>
        <v>0</v>
      </c>
      <c r="V102" s="7">
        <f>Tabla1[[#This Row],[Avance 20%]]+Tabla1[[#This Row],[Total Cubicado]]</f>
        <v>0</v>
      </c>
      <c r="W102" s="5" t="s">
        <v>148</v>
      </c>
      <c r="X102" s="17">
        <v>0</v>
      </c>
    </row>
    <row r="103" spans="1:24" x14ac:dyDescent="0.3">
      <c r="A103" s="5" t="s">
        <v>156</v>
      </c>
      <c r="D103" s="5" t="s">
        <v>139</v>
      </c>
      <c r="E103" s="5">
        <v>16340</v>
      </c>
      <c r="H103" s="5" t="s">
        <v>186</v>
      </c>
      <c r="I103" s="5" t="s">
        <v>157</v>
      </c>
      <c r="J103" s="5" t="s">
        <v>20</v>
      </c>
      <c r="O103" s="6">
        <v>130383.45</v>
      </c>
      <c r="P103" s="6"/>
      <c r="Q103" s="7">
        <v>0</v>
      </c>
      <c r="R103" s="7"/>
      <c r="S103" s="7"/>
      <c r="T103" s="7"/>
      <c r="U103" s="7">
        <f>Tabla1[[#This Row],[Cubicaciones]]</f>
        <v>0</v>
      </c>
      <c r="V103" s="7">
        <f>Tabla1[[#This Row],[Avance 20%]]+Tabla1[[#This Row],[Total Cubicado]]</f>
        <v>0</v>
      </c>
      <c r="W103" s="5" t="s">
        <v>151</v>
      </c>
      <c r="X103" s="17">
        <v>0</v>
      </c>
    </row>
    <row r="104" spans="1:24" x14ac:dyDescent="0.3">
      <c r="A104" s="5" t="s">
        <v>158</v>
      </c>
      <c r="D104" s="5" t="s">
        <v>139</v>
      </c>
      <c r="E104" s="5">
        <v>16340</v>
      </c>
      <c r="H104" s="5" t="s">
        <v>186</v>
      </c>
      <c r="I104" s="5" t="s">
        <v>159</v>
      </c>
      <c r="J104" s="5" t="s">
        <v>20</v>
      </c>
      <c r="O104" s="6">
        <v>2200000</v>
      </c>
      <c r="P104" s="6"/>
      <c r="Q104" s="7">
        <v>558675</v>
      </c>
      <c r="R104" s="7"/>
      <c r="S104" s="7"/>
      <c r="T104" s="7"/>
      <c r="U104" s="7">
        <f>Tabla1[[#This Row],[Cubicaciones]]</f>
        <v>0</v>
      </c>
      <c r="V104" s="7">
        <f>Tabla1[[#This Row],[Avance 20%]]+Tabla1[[#This Row],[Total Cubicado]]</f>
        <v>0</v>
      </c>
      <c r="W104" s="5" t="s">
        <v>151</v>
      </c>
      <c r="X104" s="17">
        <f>Tabla1[[#This Row],[TOTAL PAGADO]]/Tabla1[[#This Row],[Monto Adjudicado]]*100%</f>
        <v>0</v>
      </c>
    </row>
    <row r="105" spans="1:24" x14ac:dyDescent="0.3">
      <c r="A105" s="5" t="s">
        <v>160</v>
      </c>
      <c r="D105" s="5" t="s">
        <v>139</v>
      </c>
      <c r="E105" s="5">
        <v>16340</v>
      </c>
      <c r="H105" s="5" t="s">
        <v>186</v>
      </c>
      <c r="I105" s="5" t="s">
        <v>161</v>
      </c>
      <c r="J105" s="5" t="s">
        <v>20</v>
      </c>
      <c r="O105" s="6">
        <v>150000</v>
      </c>
      <c r="P105" s="6"/>
      <c r="Q105" s="7">
        <v>0</v>
      </c>
      <c r="R105" s="7"/>
      <c r="S105" s="7"/>
      <c r="T105" s="7"/>
      <c r="U105" s="7">
        <f>Tabla1[[#This Row],[Cubicaciones]]</f>
        <v>0</v>
      </c>
      <c r="V105" s="7">
        <f>Tabla1[[#This Row],[Avance 20%]]+Tabla1[[#This Row],[Total Cubicado]]</f>
        <v>0</v>
      </c>
      <c r="W105" s="5" t="s">
        <v>151</v>
      </c>
      <c r="X105" s="17">
        <v>0</v>
      </c>
    </row>
    <row r="106" spans="1:24" x14ac:dyDescent="0.3">
      <c r="A106" s="5" t="s">
        <v>162</v>
      </c>
      <c r="D106" s="5" t="s">
        <v>139</v>
      </c>
      <c r="E106" s="5">
        <v>16340</v>
      </c>
      <c r="H106" s="5" t="s">
        <v>186</v>
      </c>
      <c r="I106" s="5" t="s">
        <v>163</v>
      </c>
      <c r="J106" s="5" t="s">
        <v>20</v>
      </c>
      <c r="O106" s="6">
        <v>1650000</v>
      </c>
      <c r="P106" s="6"/>
      <c r="Q106" s="7">
        <v>0</v>
      </c>
      <c r="R106" s="7"/>
      <c r="S106" s="7"/>
      <c r="T106" s="7"/>
      <c r="U106" s="7">
        <f>Tabla1[[#This Row],[Cubicaciones]]</f>
        <v>0</v>
      </c>
      <c r="V106" s="7">
        <f>Tabla1[[#This Row],[Avance 20%]]+Tabla1[[#This Row],[Total Cubicado]]</f>
        <v>0</v>
      </c>
      <c r="W106" s="5" t="s">
        <v>151</v>
      </c>
      <c r="X106" s="17">
        <v>0</v>
      </c>
    </row>
    <row r="107" spans="1:24" x14ac:dyDescent="0.3">
      <c r="B107" s="5" t="s">
        <v>164</v>
      </c>
      <c r="C107" s="5">
        <v>2026</v>
      </c>
      <c r="D107" s="5" t="s">
        <v>139</v>
      </c>
      <c r="E107" s="5">
        <v>16844</v>
      </c>
      <c r="G107" s="5">
        <v>1</v>
      </c>
      <c r="H107" s="5" t="s">
        <v>7</v>
      </c>
      <c r="I107" s="5" t="s">
        <v>165</v>
      </c>
      <c r="J107" s="5" t="s">
        <v>20</v>
      </c>
      <c r="L107" s="5" t="s">
        <v>166</v>
      </c>
      <c r="O107" s="11">
        <v>9722987.5173045583</v>
      </c>
      <c r="P107" s="11">
        <v>9722987.5199999996</v>
      </c>
      <c r="Q107" s="7">
        <v>0</v>
      </c>
      <c r="R107" s="7">
        <v>0</v>
      </c>
      <c r="S107" s="7"/>
      <c r="T107" s="7"/>
      <c r="U107" s="7">
        <f>Tabla1[[#This Row],[Cubicaciones]]</f>
        <v>0</v>
      </c>
      <c r="V107" s="7">
        <f>Tabla1[[#This Row],[Avance 20%]]+Tabla1[[#This Row],[Total Cubicado]]</f>
        <v>0</v>
      </c>
      <c r="W107" s="5" t="s">
        <v>167</v>
      </c>
      <c r="X107" s="17">
        <v>0</v>
      </c>
    </row>
    <row r="108" spans="1:24" x14ac:dyDescent="0.3">
      <c r="A108" s="5" t="s">
        <v>168</v>
      </c>
      <c r="D108" s="5" t="s">
        <v>139</v>
      </c>
      <c r="E108" s="5">
        <v>16844</v>
      </c>
      <c r="H108" s="5" t="s">
        <v>186</v>
      </c>
      <c r="I108" s="5" t="s">
        <v>169</v>
      </c>
      <c r="J108" s="5" t="s">
        <v>20</v>
      </c>
      <c r="O108" s="6">
        <v>2600000</v>
      </c>
      <c r="P108" s="6"/>
      <c r="Q108" s="7">
        <v>0</v>
      </c>
      <c r="R108" s="7"/>
      <c r="S108" s="7"/>
      <c r="T108" s="7"/>
      <c r="U108" s="7">
        <f>Tabla1[[#This Row],[Cubicaciones]]</f>
        <v>0</v>
      </c>
      <c r="V108" s="7">
        <f>Tabla1[[#This Row],[Avance 20%]]+Tabla1[[#This Row],[Total Cubicado]]</f>
        <v>0</v>
      </c>
      <c r="W108" s="5" t="s">
        <v>170</v>
      </c>
      <c r="X108" s="17">
        <v>0</v>
      </c>
    </row>
    <row r="109" spans="1:24" x14ac:dyDescent="0.3">
      <c r="A109" s="5" t="s">
        <v>168</v>
      </c>
      <c r="D109" s="5" t="s">
        <v>139</v>
      </c>
      <c r="E109" s="5">
        <v>16879</v>
      </c>
      <c r="H109" s="5" t="s">
        <v>186</v>
      </c>
      <c r="I109" s="5" t="s">
        <v>169</v>
      </c>
      <c r="J109" s="5" t="s">
        <v>20</v>
      </c>
      <c r="O109" s="6">
        <v>6057110.2000000002</v>
      </c>
      <c r="P109" s="6"/>
      <c r="Q109" s="7">
        <v>0</v>
      </c>
      <c r="R109" s="7"/>
      <c r="S109" s="7"/>
      <c r="T109" s="7"/>
      <c r="U109" s="7">
        <f>Tabla1[[#This Row],[Cubicaciones]]</f>
        <v>0</v>
      </c>
      <c r="V109" s="7">
        <f>Tabla1[[#This Row],[Avance 20%]]+Tabla1[[#This Row],[Total Cubicado]]</f>
        <v>0</v>
      </c>
      <c r="W109" s="5" t="s">
        <v>170</v>
      </c>
      <c r="X109" s="17">
        <v>0</v>
      </c>
    </row>
    <row r="110" spans="1:24" x14ac:dyDescent="0.3">
      <c r="A110" s="5" t="s">
        <v>171</v>
      </c>
      <c r="B110" s="5" t="s">
        <v>101</v>
      </c>
      <c r="D110" s="5" t="s">
        <v>172</v>
      </c>
      <c r="E110" s="5">
        <v>16340</v>
      </c>
      <c r="H110" s="5" t="s">
        <v>186</v>
      </c>
      <c r="I110" s="5" t="s">
        <v>173</v>
      </c>
      <c r="J110" s="5" t="s">
        <v>20</v>
      </c>
      <c r="O110" s="6">
        <v>853900</v>
      </c>
      <c r="P110" s="6"/>
      <c r="Q110" s="7">
        <v>408703.07</v>
      </c>
      <c r="R110" s="7"/>
      <c r="S110" s="7"/>
      <c r="T110" s="7"/>
      <c r="U110" s="7">
        <f>Tabla1[[#This Row],[Cubicaciones]]</f>
        <v>0</v>
      </c>
      <c r="V110" s="7">
        <f>Tabla1[[#This Row],[Avance 20%]]+Tabla1[[#This Row],[Total Cubicado]]</f>
        <v>0</v>
      </c>
      <c r="W110" s="5" t="s">
        <v>21</v>
      </c>
      <c r="X110" s="17">
        <f>Tabla1[[#This Row],[TOTAL PAGADO]]/Tabla1[[#This Row],[Monto Adjudicado]]*100%</f>
        <v>0</v>
      </c>
    </row>
    <row r="111" spans="1:24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>SUBTOTAL(109,Tabla1[Monto Presupuestado])</f>
        <v>228492953.22718617</v>
      </c>
      <c r="P111" s="13">
        <f>SUBTOTAL(109,Tabla1[Monto en Apropiacion])</f>
        <v>9722987.5199999996</v>
      </c>
      <c r="Q111" s="13">
        <f>SUBTOTAL(109,Tabla1[Monto Adjudicado])</f>
        <v>173356155.12400013</v>
      </c>
      <c r="R111" s="13">
        <f>SUBTOTAL(109,Tabla1[Avance 20%])</f>
        <v>28875105.177999996</v>
      </c>
      <c r="S111" s="13">
        <f>SUBTOTAL(109,Tabla1[Cubicaciones])</f>
        <v>5599991.6299999999</v>
      </c>
      <c r="T111" s="13">
        <f>SUBTOTAL(109,Tabla1[Estatus de Cubicaciones])</f>
        <v>0</v>
      </c>
      <c r="U111" s="13">
        <f>SUBTOTAL(109,Tabla1[Total Cubicado])</f>
        <v>5599991.6299999999</v>
      </c>
      <c r="V111" s="13">
        <f>SUBTOTAL(109,Tabla1[TOTAL PAGADO])</f>
        <v>34475096.807999998</v>
      </c>
      <c r="W111" s="12"/>
      <c r="X111" s="12"/>
    </row>
    <row r="113" spans="12:22" x14ac:dyDescent="0.3">
      <c r="O113" s="14"/>
    </row>
    <row r="114" spans="12:22" x14ac:dyDescent="0.3">
      <c r="Q114" s="15"/>
      <c r="R114" s="15"/>
    </row>
    <row r="115" spans="12:22" x14ac:dyDescent="0.3">
      <c r="O115" s="16"/>
      <c r="P115" s="16"/>
      <c r="Q115" s="14"/>
    </row>
    <row r="116" spans="12:22" x14ac:dyDescent="0.3">
      <c r="P116" s="15"/>
      <c r="V116" s="15"/>
    </row>
    <row r="117" spans="12:22" x14ac:dyDescent="0.3">
      <c r="L117" s="5" t="s">
        <v>174</v>
      </c>
      <c r="M117" s="14">
        <v>250825619.41999999</v>
      </c>
      <c r="N117" s="14"/>
      <c r="Q117" s="14"/>
    </row>
    <row r="118" spans="12:22" x14ac:dyDescent="0.3">
      <c r="O118" s="15"/>
      <c r="Q118" s="14"/>
    </row>
    <row r="119" spans="12:22" x14ac:dyDescent="0.3">
      <c r="M119" s="15"/>
      <c r="N119" s="15"/>
    </row>
    <row r="120" spans="12:22" x14ac:dyDescent="0.3">
      <c r="O120" s="15"/>
      <c r="Q120" s="14"/>
    </row>
    <row r="121" spans="12:22" x14ac:dyDescent="0.3">
      <c r="Q121" s="15"/>
    </row>
    <row r="122" spans="12:22" x14ac:dyDescent="0.3">
      <c r="Q122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COMARKY REYES</dc:creator>
  <cp:lastModifiedBy>COMARKY REYES</cp:lastModifiedBy>
  <dcterms:created xsi:type="dcterms:W3CDTF">2026-07-15T18:25:47Z</dcterms:created>
  <dcterms:modified xsi:type="dcterms:W3CDTF">2026-07-15T18:41:37Z</dcterms:modified>
</cp:coreProperties>
</file>