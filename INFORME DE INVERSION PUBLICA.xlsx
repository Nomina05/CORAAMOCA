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esc\Documents\New project\"/>
    </mc:Choice>
  </mc:AlternateContent>
  <xr:revisionPtr revIDLastSave="0" documentId="13_ncr:1_{9494F75C-F9AD-49C8-AE8A-BD5DAEFC359A}" xr6:coauthVersionLast="47" xr6:coauthVersionMax="47" xr10:uidLastSave="{00000000-0000-0000-0000-000000000000}"/>
  <bookViews>
    <workbookView xWindow="-108" yWindow="-108" windowWidth="23256" windowHeight="12576" xr2:uid="{EB1D0867-BCA4-45EA-AEB6-51CB31F295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" i="1" l="1"/>
  <c r="J26" i="1"/>
  <c r="B194" i="1"/>
  <c r="J137" i="1"/>
  <c r="H57" i="1"/>
  <c r="H58" i="1"/>
  <c r="H59" i="1"/>
  <c r="H60" i="1"/>
  <c r="H61" i="1"/>
  <c r="H56" i="1"/>
  <c r="F101" i="1"/>
  <c r="J83" i="1" l="1"/>
  <c r="H157" i="1"/>
  <c r="H158" i="1"/>
  <c r="H159" i="1"/>
  <c r="H160" i="1"/>
  <c r="H161" i="1"/>
  <c r="H162" i="1"/>
  <c r="H163" i="1"/>
  <c r="H164" i="1"/>
  <c r="H165" i="1"/>
  <c r="H156" i="1"/>
  <c r="H151" i="1"/>
  <c r="H134" i="1"/>
  <c r="H135" i="1"/>
  <c r="H136" i="1"/>
  <c r="H138" i="1"/>
  <c r="H139" i="1"/>
  <c r="H140" i="1"/>
  <c r="H141" i="1"/>
  <c r="H133" i="1"/>
  <c r="H125" i="1"/>
  <c r="H126" i="1"/>
  <c r="H127" i="1"/>
  <c r="H128" i="1"/>
  <c r="H124" i="1"/>
  <c r="J119" i="1"/>
  <c r="H119" i="1"/>
  <c r="G120" i="1"/>
  <c r="G129" i="1"/>
  <c r="H112" i="1"/>
  <c r="H113" i="1"/>
  <c r="H111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66" i="1"/>
  <c r="H40" i="1"/>
  <c r="H41" i="1"/>
  <c r="H42" i="1"/>
  <c r="H43" i="1"/>
  <c r="H44" i="1"/>
  <c r="H45" i="1"/>
  <c r="H46" i="1"/>
  <c r="H47" i="1"/>
  <c r="H48" i="1"/>
  <c r="H49" i="1"/>
  <c r="H50" i="1"/>
  <c r="H51" i="1"/>
  <c r="H39" i="1"/>
  <c r="H29" i="1"/>
  <c r="H30" i="1"/>
  <c r="H32" i="1"/>
  <c r="H33" i="1"/>
  <c r="H34" i="1"/>
  <c r="H25" i="1"/>
  <c r="H24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B190" i="1"/>
  <c r="J146" i="1" l="1"/>
  <c r="J124" i="1"/>
  <c r="J133" i="1"/>
  <c r="J5" i="1"/>
  <c r="J156" i="1"/>
  <c r="J157" i="1"/>
  <c r="J158" i="1"/>
  <c r="J159" i="1"/>
  <c r="J160" i="1"/>
  <c r="J161" i="1"/>
  <c r="J162" i="1"/>
  <c r="J163" i="1"/>
  <c r="J164" i="1"/>
  <c r="J165" i="1"/>
  <c r="J134" i="1"/>
  <c r="J135" i="1"/>
  <c r="J136" i="1"/>
  <c r="J138" i="1"/>
  <c r="J139" i="1"/>
  <c r="J140" i="1"/>
  <c r="J141" i="1"/>
  <c r="J112" i="1"/>
  <c r="J113" i="1"/>
  <c r="J111" i="1"/>
  <c r="J125" i="1"/>
  <c r="J126" i="1"/>
  <c r="J127" i="1"/>
  <c r="J128" i="1"/>
  <c r="G114" i="1"/>
  <c r="G107" i="1"/>
  <c r="G101" i="1"/>
  <c r="G85" i="1"/>
  <c r="G62" i="1"/>
  <c r="G52" i="1"/>
  <c r="G166" i="1" l="1"/>
  <c r="G152" i="1"/>
  <c r="G147" i="1"/>
  <c r="G142" i="1"/>
  <c r="J91" i="1"/>
  <c r="J90" i="1"/>
  <c r="J97" i="1"/>
  <c r="J100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4" i="1"/>
  <c r="J66" i="1"/>
  <c r="J58" i="1"/>
  <c r="J59" i="1"/>
  <c r="J60" i="1"/>
  <c r="J61" i="1"/>
  <c r="J48" i="1"/>
  <c r="J49" i="1"/>
  <c r="J50" i="1"/>
  <c r="J51" i="1"/>
  <c r="G35" i="1"/>
  <c r="J19" i="1"/>
  <c r="J24" i="1"/>
  <c r="J25" i="1"/>
  <c r="J27" i="1"/>
  <c r="J28" i="1"/>
  <c r="J31" i="1"/>
  <c r="E20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G20" i="1"/>
  <c r="B173" i="1"/>
  <c r="D166" i="1" l="1"/>
  <c r="E166" i="1"/>
  <c r="H166" i="1"/>
  <c r="D152" i="1"/>
  <c r="E152" i="1"/>
  <c r="H152" i="1"/>
  <c r="D147" i="1"/>
  <c r="E147" i="1"/>
  <c r="H147" i="1"/>
  <c r="D142" i="1"/>
  <c r="E142" i="1"/>
  <c r="H142" i="1"/>
  <c r="D129" i="1"/>
  <c r="E129" i="1"/>
  <c r="H129" i="1"/>
  <c r="E120" i="1" l="1"/>
  <c r="H120" i="1"/>
  <c r="D120" i="1"/>
  <c r="I120" i="1"/>
  <c r="E114" i="1"/>
  <c r="H114" i="1"/>
  <c r="D114" i="1"/>
  <c r="D107" i="1"/>
  <c r="E107" i="1"/>
  <c r="H107" i="1"/>
  <c r="E101" i="1"/>
  <c r="H101" i="1"/>
  <c r="D101" i="1"/>
  <c r="E85" i="1"/>
  <c r="H85" i="1"/>
  <c r="D85" i="1"/>
  <c r="E62" i="1"/>
  <c r="H62" i="1"/>
  <c r="D62" i="1"/>
  <c r="E52" i="1"/>
  <c r="H52" i="1"/>
  <c r="D52" i="1"/>
  <c r="H35" i="1" l="1"/>
  <c r="E35" i="1"/>
  <c r="D35" i="1"/>
  <c r="H20" i="1"/>
  <c r="D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COMARKY REYES</author>
  </authors>
  <commentList>
    <comment ref="B172" authorId="0" shapeId="0" xr:uid="{C280AD2B-EB3E-4DC6-9BCF-AB6B9557561B}">
      <text>
        <r>
          <rPr>
            <b/>
            <sz val="9"/>
            <color indexed="81"/>
            <rFont val="Tahoma"/>
            <family val="2"/>
          </rPr>
          <t>COMARKY REYES:</t>
        </r>
        <r>
          <rPr>
            <sz val="9"/>
            <color indexed="81"/>
            <rFont val="Tahoma"/>
            <family val="2"/>
          </rPr>
          <t xml:space="preserve">
PAGO TRABAJO EN EL 2025 QUE NO SE REFLEJO EN INVERSION AL INCORPORARSE EN EL 2026. CAMILO PANTALEON E IMPER (MEDIDORES) 20%</t>
        </r>
      </text>
    </comment>
  </commentList>
</comments>
</file>

<file path=xl/sharedStrings.xml><?xml version="1.0" encoding="utf-8"?>
<sst xmlns="http://schemas.openxmlformats.org/spreadsheetml/2006/main" count="568" uniqueCount="208">
  <si>
    <t>CORAAMOCA - Resumen de inversión por código SNIP</t>
  </si>
  <si>
    <t xml:space="preserve">Municipio: Cayetano Germosén </t>
  </si>
  <si>
    <t xml:space="preserve">| Total de población: 6,465 </t>
  </si>
  <si>
    <t>| 4,768.18 ML</t>
  </si>
  <si>
    <t>Código SNIP</t>
  </si>
  <si>
    <t>Tipo de obra</t>
  </si>
  <si>
    <t>Sector</t>
  </si>
  <si>
    <t>Monto adjudicado</t>
  </si>
  <si>
    <t>Avance 20%</t>
  </si>
  <si>
    <t>Total pagado</t>
  </si>
  <si>
    <t>Estatus</t>
  </si>
  <si>
    <t>% de la obra</t>
  </si>
  <si>
    <t>Ampliación de Redes</t>
  </si>
  <si>
    <t>La Gallera - Guanábano</t>
  </si>
  <si>
    <t>En Ejecucion</t>
  </si>
  <si>
    <t>Villa Progreso</t>
  </si>
  <si>
    <t>Sabana De Los Jiménez</t>
  </si>
  <si>
    <t xml:space="preserve">Calle Del Rio </t>
  </si>
  <si>
    <t>La Penda</t>
  </si>
  <si>
    <t>Barrio nuevo La Guama</t>
  </si>
  <si>
    <t>Cruce de La Guama</t>
  </si>
  <si>
    <t>Urbanización La Guama  (entrada del Play)</t>
  </si>
  <si>
    <t>Entrada la Iglesia - Hato Viejo</t>
  </si>
  <si>
    <t>Barrio Marien - Guanábano</t>
  </si>
  <si>
    <t xml:space="preserve">Construcción de un pozo tubular </t>
  </si>
  <si>
    <t>Construcción de un pozo tubular</t>
  </si>
  <si>
    <t>Calle Del Rio</t>
  </si>
  <si>
    <t>Maguey</t>
  </si>
  <si>
    <t xml:space="preserve">Municipio: Gaspar Hernandez </t>
  </si>
  <si>
    <t xml:space="preserve">l Total de población: 4,960 </t>
  </si>
  <si>
    <t>| 5,202 ML</t>
  </si>
  <si>
    <t>Construcción de un pozo tubular #1</t>
  </si>
  <si>
    <t>Campo de Pozos</t>
  </si>
  <si>
    <t>Registro de Contrato</t>
  </si>
  <si>
    <t>Construcción de un pozo tubular #2</t>
  </si>
  <si>
    <t xml:space="preserve">Entrada de Gen </t>
  </si>
  <si>
    <t>Villa Olímpica</t>
  </si>
  <si>
    <t>Villa Valentina</t>
  </si>
  <si>
    <t>Entrada el Correo</t>
  </si>
  <si>
    <t>Las Colinas La Antena</t>
  </si>
  <si>
    <t>Loma Al Medio (Entrada La Cigua)</t>
  </si>
  <si>
    <t>Entrada La Batata</t>
  </si>
  <si>
    <t xml:space="preserve">Pozo Las Colinas (La Antena) </t>
  </si>
  <si>
    <t>Callejón de Sara</t>
  </si>
  <si>
    <t>Caño Dulce</t>
  </si>
  <si>
    <t>Entrada La Escuela</t>
  </si>
  <si>
    <t>Entrada La Yuca</t>
  </si>
  <si>
    <t>Entrada Los Guaos</t>
  </si>
  <si>
    <t>La Españolita</t>
  </si>
  <si>
    <t>La Mina</t>
  </si>
  <si>
    <t>Los Polanco</t>
  </si>
  <si>
    <t>San Lorenzo</t>
  </si>
  <si>
    <t>Construcción de Centro de Servicio al Cliente</t>
  </si>
  <si>
    <t>Campo de Pozos Veragua</t>
  </si>
  <si>
    <t>Entrada La Gallera</t>
  </si>
  <si>
    <t>Entrada Malen</t>
  </si>
  <si>
    <t>Entrada Playa Rogelio</t>
  </si>
  <si>
    <t>Rincón de Genaro</t>
  </si>
  <si>
    <t>Pozo Tanque Entrada Los Mangos</t>
  </si>
  <si>
    <t>Vereda Al Medio</t>
  </si>
  <si>
    <t>El Corozo - Entrada Raulito</t>
  </si>
  <si>
    <t>El Fundo San Francisco abajo</t>
  </si>
  <si>
    <t>El Jazmín - Cruce del Algarrobo</t>
  </si>
  <si>
    <t>Entrada de la Iglesia y los Cacos, B/Pulu- La Rosario</t>
  </si>
  <si>
    <t>Estancia Nueva - Los Reinoso</t>
  </si>
  <si>
    <t>La Ermita - Entrada Surtidora Santana</t>
  </si>
  <si>
    <t>Los Cocos Llenas</t>
  </si>
  <si>
    <t>Los Hernández - La Rosario</t>
  </si>
  <si>
    <t>Quebrada Honda - Entrada de Willy</t>
  </si>
  <si>
    <t>Quebrada Honda - Lotificación Pilo Santana</t>
  </si>
  <si>
    <t>Quebrada Honda -Entrada de la escuelita, C/Mora</t>
  </si>
  <si>
    <t>Quebrada La Yagua - El Algarrobo</t>
  </si>
  <si>
    <t>Villa Delia</t>
  </si>
  <si>
    <t>Guauci</t>
  </si>
  <si>
    <t>Suministro e Instalación de Micro Medidores de Agua Potable en Residenciales e Industrias</t>
  </si>
  <si>
    <t>Activos Fijos</t>
  </si>
  <si>
    <t>Automóviles y camiones - Minivan</t>
  </si>
  <si>
    <t>Equipo de generación eléctrica y a fines</t>
  </si>
  <si>
    <t>Equipos de climatización</t>
  </si>
  <si>
    <t>Equipos de tecnología de la información y comunicación</t>
  </si>
  <si>
    <t>Maquinaria y equipo agropecuario</t>
  </si>
  <si>
    <t>Maquinaria y equipo de construcción - Retroexacavadora</t>
  </si>
  <si>
    <t>Maquinaria y equipo industrial</t>
  </si>
  <si>
    <t>Máquinas-herramientas</t>
  </si>
  <si>
    <t>Muebles, equipos de oficina y estantería</t>
  </si>
  <si>
    <t>Otros servicios técnicos profesionales</t>
  </si>
  <si>
    <t>Productos y útiles diversos</t>
  </si>
  <si>
    <t>Publicidad y propaganda</t>
  </si>
  <si>
    <t>Terrenos urbanos sin mejoras</t>
  </si>
  <si>
    <t>El Higüerito</t>
  </si>
  <si>
    <t>El Higuerito Arriba</t>
  </si>
  <si>
    <t>Entrada Centro Tecnológico</t>
  </si>
  <si>
    <t>Entrada Los Julines</t>
  </si>
  <si>
    <t>Los Camacho</t>
  </si>
  <si>
    <t>Boca Férrea</t>
  </si>
  <si>
    <t>La Finca</t>
  </si>
  <si>
    <t>La Lomita</t>
  </si>
  <si>
    <t>Boca Férrea - Entrada La Escuela</t>
  </si>
  <si>
    <t>Cruce La Lomita del Higüero (La Finca)</t>
  </si>
  <si>
    <t>La Finca - Entrada de la Escuela</t>
  </si>
  <si>
    <t>Entrada Don Juan</t>
  </si>
  <si>
    <t>Los Brazos</t>
  </si>
  <si>
    <t>Ceiba de Madera (El Mango de Nena 1)</t>
  </si>
  <si>
    <t>Ceiba de Madera (El Mango de Nena 2)</t>
  </si>
  <si>
    <t>Entrada Arte de Jesús</t>
  </si>
  <si>
    <t>La Amapola - Entrada María Arroyo</t>
  </si>
  <si>
    <t>B/La Lambada</t>
  </si>
  <si>
    <t>Centro Tecnológico</t>
  </si>
  <si>
    <t>Los Rieles Arriba</t>
  </si>
  <si>
    <t>ADQUISION DE CAMIONES CISTERNA</t>
  </si>
  <si>
    <t xml:space="preserve">Distrito: Veragua </t>
  </si>
  <si>
    <t xml:space="preserve">| Total de población: 4,550 </t>
  </si>
  <si>
    <t>| 7,043 ML</t>
  </si>
  <si>
    <t xml:space="preserve">Los Cocos </t>
  </si>
  <si>
    <t xml:space="preserve">Distrito: Villa Magante </t>
  </si>
  <si>
    <t xml:space="preserve">| Total de población: 1,655 </t>
  </si>
  <si>
    <t>| 3,264 ML</t>
  </si>
  <si>
    <t xml:space="preserve">Municipio: Moca </t>
  </si>
  <si>
    <t>Reconstrucción de Centro de Servicio y Construcción de Parqueos</t>
  </si>
  <si>
    <t xml:space="preserve">Quebrada Honda- Entrada de La Chicha </t>
  </si>
  <si>
    <t>Entrada  Sixto García - La Soledad</t>
  </si>
  <si>
    <t>Cacique  Abajo - La Antena</t>
  </si>
  <si>
    <t>l Total de población: 1,128</t>
  </si>
  <si>
    <t xml:space="preserve">l Total de población: </t>
  </si>
  <si>
    <t>En Proceso de pago</t>
  </si>
  <si>
    <t>Publicado</t>
  </si>
  <si>
    <t>Pendiente Publicacion</t>
  </si>
  <si>
    <t>En Proceso</t>
  </si>
  <si>
    <t xml:space="preserve">Distrito: Canca La Reina </t>
  </si>
  <si>
    <t>| 235 ML</t>
  </si>
  <si>
    <t xml:space="preserve">| Total de población: 978 </t>
  </si>
  <si>
    <t xml:space="preserve">Distrito: El Higüerito </t>
  </si>
  <si>
    <t xml:space="preserve">| Total de población: 600 </t>
  </si>
  <si>
    <t xml:space="preserve">Distrito: Juan López </t>
  </si>
  <si>
    <t xml:space="preserve">| Total de población: 900 </t>
  </si>
  <si>
    <t>| 330 ML</t>
  </si>
  <si>
    <t>| Total de inversión: $27,271,561.22</t>
  </si>
  <si>
    <t xml:space="preserve">| Total de inversión: $26,815,031.45 </t>
  </si>
  <si>
    <t xml:space="preserve">| Total de inversión: $31,741,222.88 </t>
  </si>
  <si>
    <t xml:space="preserve">| Total de inversión: $13,399,349.39 </t>
  </si>
  <si>
    <t>| Total de inversión: $24,581,478.02</t>
  </si>
  <si>
    <t>| Total de inversión: $24,179,840.00</t>
  </si>
  <si>
    <t>| Total de inversión: $8,657,110.20</t>
  </si>
  <si>
    <t xml:space="preserve">| Total de inversión: $6,521,613.05 </t>
  </si>
  <si>
    <t>| Total de inversión: $10,831,332.76</t>
  </si>
  <si>
    <t xml:space="preserve">| Total de inversión: $13,501,271.24 </t>
  </si>
  <si>
    <t xml:space="preserve">Entrada  Los Pérez </t>
  </si>
  <si>
    <t xml:space="preserve">Distrito: Las Lagunas </t>
  </si>
  <si>
    <t xml:space="preserve">| Total de población: 924 </t>
  </si>
  <si>
    <t xml:space="preserve">| Total de inversión: $20,248,327.57 </t>
  </si>
  <si>
    <t>| 1,856.58 ML</t>
  </si>
  <si>
    <t xml:space="preserve">Canta Rana </t>
  </si>
  <si>
    <t xml:space="preserve">Distrito: Monte de la Jagua </t>
  </si>
  <si>
    <t xml:space="preserve">| Total de población: 108 </t>
  </si>
  <si>
    <t xml:space="preserve">| Total de inversión: $507,529.15 </t>
  </si>
  <si>
    <t>| 250 ML</t>
  </si>
  <si>
    <t>| Total de inversión: $3,419,652.20</t>
  </si>
  <si>
    <t>Entrada del  Club del los  Choferes</t>
  </si>
  <si>
    <t>Entrada los  Chivos - San Víctor</t>
  </si>
  <si>
    <t xml:space="preserve">Municipio: San Víctor </t>
  </si>
  <si>
    <t xml:space="preserve">| Total de población: 1,086 </t>
  </si>
  <si>
    <t xml:space="preserve">| Total de inversión: $16,817,634.11 </t>
  </si>
  <si>
    <t>| 1,751.43 ML</t>
  </si>
  <si>
    <t>CODIGOS SNIP</t>
  </si>
  <si>
    <t>RESUMEN GENERAL</t>
  </si>
  <si>
    <t>TOTAL DE INVERSION</t>
  </si>
  <si>
    <t>Total de inversion $ 235,877,493.80</t>
  </si>
  <si>
    <t>Cubicado</t>
  </si>
  <si>
    <t>Cubicacion</t>
  </si>
  <si>
    <t>Cubicaciones</t>
  </si>
  <si>
    <t>TOTAL PAGADO EN OBRAS</t>
  </si>
  <si>
    <t>DISPONIBILIDAD EN OBRAS SIN ASIGNACION</t>
  </si>
  <si>
    <t>La Chicharra</t>
  </si>
  <si>
    <t>EQUIPAMIENTOS</t>
  </si>
  <si>
    <t>RESUMEN GENERAL CON CODIGOS SNIP / OBRAS</t>
  </si>
  <si>
    <t>RESUMEN GENERAL CON CODIGOS SNIP / EQUIPAMIENTOS Y ACTIVOS FIJOS</t>
  </si>
  <si>
    <t>MAQUINARIAS Y EQUIPOS</t>
  </si>
  <si>
    <t>OTROS GASTOS</t>
  </si>
  <si>
    <t>EQUIPOS PESADOS</t>
  </si>
  <si>
    <t>ESTATUS</t>
  </si>
  <si>
    <t>APROPIACION</t>
  </si>
  <si>
    <t>COMPROMISO</t>
  </si>
  <si>
    <t>PAGO</t>
  </si>
  <si>
    <t>ADQUISION DE TERRENOS</t>
  </si>
  <si>
    <t>EN EJECUCION</t>
  </si>
  <si>
    <t>TOTAL CUBICADO</t>
  </si>
  <si>
    <t>CUBICACION PARA FIRMAS</t>
  </si>
  <si>
    <t>CUBICACION EN ETAPA DE LIBRAMIENTO</t>
  </si>
  <si>
    <t>PROYESTOS</t>
  </si>
  <si>
    <t>CODIGOS SNIP (16340, 16879 Y 16844)</t>
  </si>
  <si>
    <t>RESUMEN GENERAL DE DISPONIBILIDAD DE INVERSION 2025</t>
  </si>
  <si>
    <t>MONTO TOTAL DISPONIBLE</t>
  </si>
  <si>
    <t>REHABILITACION DE ACUEDUCTO DE VERAGUA</t>
  </si>
  <si>
    <t>DISPONIBILIDAD SIN ASIGNACION</t>
  </si>
  <si>
    <t>FECHA DE ADJUDICACION</t>
  </si>
  <si>
    <t>OBSERVACION</t>
  </si>
  <si>
    <t>VALIDACION DE PRESUPUESTO</t>
  </si>
  <si>
    <t>ASIGNACION DE PRESUPUESTO (INVERSION) 2026</t>
  </si>
  <si>
    <t>SIN SOLICITUD</t>
  </si>
  <si>
    <t>TOTAL DISPONIBLE PARA SNIP DE HIGUERITO</t>
  </si>
  <si>
    <t>Estatus de Cubicacion</t>
  </si>
  <si>
    <t>En Cubicacion</t>
  </si>
  <si>
    <t>En libramiento</t>
  </si>
  <si>
    <t>La Ermita B/Eduardo Brito</t>
  </si>
  <si>
    <t>Apropiado</t>
  </si>
  <si>
    <t xml:space="preserve">Municipio: Jamao Al Norte </t>
  </si>
  <si>
    <t>C/ Reyna de Los Angeles</t>
  </si>
  <si>
    <t>El Aguacate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</si>
</sst>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1C0A]* #,##0.00_);_([$$-1C0A]* \(#,##0.00\);_([$$-1C0A]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102B4A"/>
      <name val="Calibri"/>
      <family val="2"/>
      <scheme val="minor"/>
    </font>
    <font>
      <sz val="12"/>
      <color rgb="FF172026"/>
      <name val="Calibri"/>
      <family val="2"/>
      <scheme val="minor"/>
    </font>
    <font>
      <sz val="12"/>
      <color rgb="FF65727D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172026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172026"/>
      <name val="Calibri"/>
      <family val="2"/>
      <scheme val="minor"/>
    </font>
    <font>
      <b/>
      <sz val="14"/>
      <color rgb="FF17202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rgb="FF000000"/>
      </patternFill>
    </fill>
    <fill>
      <patternFill patternType="solid">
        <fgColor rgb="FFEEF3F5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44" fontId="8" fillId="0" borderId="0" xfId="2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44" fontId="6" fillId="0" borderId="0" xfId="2" applyFont="1" applyFill="1" applyBorder="1" applyAlignment="1">
      <alignment horizontal="left" vertical="top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 vertical="top"/>
    </xf>
    <xf numFmtId="44" fontId="3" fillId="0" borderId="0" xfId="2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43" fontId="3" fillId="0" borderId="0" xfId="1" applyFont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10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44" fontId="6" fillId="0" borderId="0" xfId="0" applyNumberFormat="1" applyFont="1" applyAlignment="1">
      <alignment horizontal="left" vertical="top"/>
    </xf>
    <xf numFmtId="9" fontId="6" fillId="0" borderId="0" xfId="0" applyNumberFormat="1" applyFont="1" applyAlignment="1">
      <alignment horizontal="left" vertical="top"/>
    </xf>
    <xf numFmtId="9" fontId="9" fillId="0" borderId="0" xfId="0" applyNumberFormat="1" applyFont="1" applyAlignment="1">
      <alignment horizontal="left" vertical="top"/>
    </xf>
    <xf numFmtId="43" fontId="3" fillId="0" borderId="0" xfId="1" applyFont="1" applyBorder="1" applyAlignment="1">
      <alignment horizontal="left"/>
    </xf>
    <xf numFmtId="43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/>
    </xf>
    <xf numFmtId="164" fontId="3" fillId="0" borderId="1" xfId="1" applyNumberFormat="1" applyFont="1" applyBorder="1" applyAlignment="1">
      <alignment horizontal="left" vertical="top"/>
    </xf>
    <xf numFmtId="9" fontId="3" fillId="0" borderId="1" xfId="0" applyNumberFormat="1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44" fontId="3" fillId="0" borderId="1" xfId="2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44" fontId="8" fillId="0" borderId="1" xfId="2" applyFont="1" applyBorder="1" applyAlignment="1">
      <alignment horizontal="left" vertical="top"/>
    </xf>
    <xf numFmtId="44" fontId="10" fillId="5" borderId="1" xfId="2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/>
    </xf>
    <xf numFmtId="9" fontId="6" fillId="5" borderId="1" xfId="0" applyNumberFormat="1" applyFont="1" applyFill="1" applyBorder="1" applyAlignment="1">
      <alignment horizontal="center" vertical="top"/>
    </xf>
    <xf numFmtId="164" fontId="6" fillId="5" borderId="1" xfId="0" applyNumberFormat="1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9" fontId="3" fillId="5" borderId="1" xfId="0" applyNumberFormat="1" applyFont="1" applyFill="1" applyBorder="1" applyAlignment="1">
      <alignment horizontal="center" vertical="top"/>
    </xf>
    <xf numFmtId="44" fontId="6" fillId="5" borderId="2" xfId="2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9" fontId="3" fillId="5" borderId="2" xfId="0" applyNumberFormat="1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center" vertical="top"/>
    </xf>
    <xf numFmtId="0" fontId="12" fillId="0" borderId="1" xfId="0" applyFont="1" applyBorder="1" applyAlignment="1">
      <alignment horizontal="left" vertical="top"/>
    </xf>
    <xf numFmtId="44" fontId="12" fillId="0" borderId="1" xfId="2" applyFont="1" applyBorder="1" applyAlignment="1">
      <alignment horizontal="left" vertical="top"/>
    </xf>
    <xf numFmtId="9" fontId="12" fillId="0" borderId="1" xfId="0" applyNumberFormat="1" applyFont="1" applyBorder="1" applyAlignment="1">
      <alignment horizontal="left" vertical="top"/>
    </xf>
    <xf numFmtId="44" fontId="6" fillId="5" borderId="1" xfId="0" applyNumberFormat="1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9" fontId="6" fillId="5" borderId="1" xfId="0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left" vertical="top"/>
    </xf>
    <xf numFmtId="44" fontId="12" fillId="0" borderId="1" xfId="2" applyFont="1" applyFill="1" applyBorder="1" applyAlignment="1">
      <alignment horizontal="left" vertical="top"/>
    </xf>
    <xf numFmtId="0" fontId="12" fillId="0" borderId="1" xfId="2" applyNumberFormat="1" applyFont="1" applyBorder="1" applyAlignment="1">
      <alignment horizontal="left" vertical="top"/>
    </xf>
    <xf numFmtId="0" fontId="11" fillId="6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top"/>
    </xf>
    <xf numFmtId="8" fontId="3" fillId="0" borderId="0" xfId="0" applyNumberFormat="1" applyFont="1" applyAlignment="1">
      <alignment horizontal="left" vertical="top"/>
    </xf>
    <xf numFmtId="44" fontId="6" fillId="5" borderId="2" xfId="0" applyNumberFormat="1" applyFont="1" applyFill="1" applyBorder="1" applyAlignment="1">
      <alignment horizontal="left" vertical="top"/>
    </xf>
    <xf numFmtId="43" fontId="3" fillId="0" borderId="1" xfId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5" fillId="7" borderId="4" xfId="0" applyFont="1" applyFill="1" applyBorder="1" applyAlignment="1">
      <alignment horizontal="center"/>
    </xf>
    <xf numFmtId="44" fontId="6" fillId="0" borderId="1" xfId="2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8" borderId="1" xfId="0" applyFont="1" applyFill="1" applyBorder="1" applyAlignment="1">
      <alignment horizontal="left" vertical="top"/>
    </xf>
    <xf numFmtId="44" fontId="6" fillId="8" borderId="1" xfId="2" applyFont="1" applyFill="1" applyBorder="1" applyAlignment="1">
      <alignment horizontal="left" vertical="top"/>
    </xf>
    <xf numFmtId="0" fontId="6" fillId="8" borderId="0" xfId="0" applyFont="1" applyFill="1" applyAlignment="1">
      <alignment horizontal="center"/>
    </xf>
    <xf numFmtId="0" fontId="3" fillId="0" borderId="2" xfId="0" applyFont="1" applyBorder="1" applyAlignment="1">
      <alignment horizontal="left" vertical="top"/>
    </xf>
    <xf numFmtId="44" fontId="3" fillId="0" borderId="2" xfId="2" applyFont="1" applyBorder="1" applyAlignment="1">
      <alignment horizontal="left" vertical="top"/>
    </xf>
    <xf numFmtId="44" fontId="6" fillId="0" borderId="0" xfId="2" applyFont="1" applyBorder="1" applyAlignment="1">
      <alignment horizontal="left" vertical="top"/>
    </xf>
    <xf numFmtId="44" fontId="15" fillId="0" borderId="1" xfId="2" applyFont="1" applyBorder="1" applyAlignment="1">
      <alignment horizontal="left" vertical="top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44" fontId="16" fillId="0" borderId="1" xfId="2" applyFont="1" applyBorder="1" applyAlignment="1">
      <alignment horizontal="left" vertical="top"/>
    </xf>
    <xf numFmtId="44" fontId="6" fillId="0" borderId="0" xfId="0" applyNumberFormat="1" applyFont="1" applyAlignment="1">
      <alignment horizontal="left"/>
    </xf>
    <xf numFmtId="44" fontId="8" fillId="0" borderId="0" xfId="2" applyFont="1"/>
    <xf numFmtId="0" fontId="12" fillId="0" borderId="1" xfId="0" applyFont="1" applyBorder="1" applyAlignment="1">
      <alignment horizontal="left" vertical="top" wrapText="1"/>
    </xf>
    <xf numFmtId="0" fontId="5" fillId="0" borderId="0" xfId="0" applyFont="1" applyAlignment="1">
      <alignment wrapText="1"/>
    </xf>
    <xf numFmtId="44" fontId="3" fillId="0" borderId="0" xfId="0" applyNumberFormat="1" applyFont="1" applyAlignment="1">
      <alignment horizontal="left"/>
    </xf>
    <xf numFmtId="9" fontId="3" fillId="0" borderId="0" xfId="3" applyFont="1" applyAlignment="1">
      <alignment horizontal="left"/>
    </xf>
    <xf numFmtId="0" fontId="5" fillId="7" borderId="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5" fillId="7" borderId="0" xfId="0" applyFont="1" applyFill="1" applyAlignment="1">
      <alignment horizontal="center"/>
    </xf>
    <xf numFmtId="0" fontId="6" fillId="8" borderId="1" xfId="0" applyFont="1" applyFill="1" applyBorder="1" applyAlignment="1">
      <alignment horizontal="left" vertical="center"/>
    </xf>
    <xf numFmtId="44" fontId="6" fillId="8" borderId="1" xfId="2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4" fontId="3" fillId="0" borderId="1" xfId="2" applyFont="1" applyBorder="1" applyAlignment="1">
      <alignment horizontal="left" vertical="center"/>
    </xf>
    <xf numFmtId="14" fontId="3" fillId="0" borderId="1" xfId="2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44" fontId="3" fillId="0" borderId="1" xfId="2" applyFont="1" applyBorder="1" applyAlignment="1">
      <alignment horizontal="left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BDDC-E186-4F36-BA06-F016BC736AE1}">
  <dimension ref="A1:K194"/>
  <sheetViews>
    <sheetView tabSelected="1" topLeftCell="A168" zoomScaleNormal="100" workbookViewId="0">
      <selection activeCell="B180" sqref="B180"/>
    </sheetView>
  </sheetViews>
  <sheetFormatPr baseColWidth="10" defaultRowHeight="15.6" x14ac:dyDescent="0.3"/>
  <cols>
    <col min="1" max="1" width="53.21875" style="3" bestFit="1" customWidth="1"/>
    <col min="2" max="2" width="55.5546875" style="3" customWidth="1"/>
    <col min="3" max="3" width="49.44140625" style="3" bestFit="1" customWidth="1"/>
    <col min="4" max="5" width="19.33203125" style="3" bestFit="1" customWidth="1"/>
    <col min="6" max="6" width="21.5546875" style="3" bestFit="1" customWidth="1"/>
    <col min="7" max="7" width="21" style="3" customWidth="1"/>
    <col min="8" max="8" width="19.33203125" style="3" bestFit="1" customWidth="1"/>
    <col min="9" max="9" width="21.88671875" style="3" bestFit="1" customWidth="1"/>
    <col min="10" max="10" width="12.6640625" style="3" customWidth="1"/>
    <col min="11" max="11" width="15.109375" style="3" bestFit="1" customWidth="1"/>
    <col min="12" max="16384" width="11.5546875" style="3"/>
  </cols>
  <sheetData>
    <row r="1" spans="1:10" x14ac:dyDescent="0.3">
      <c r="A1" s="84" t="s">
        <v>0</v>
      </c>
      <c r="B1" s="84"/>
    </row>
    <row r="2" spans="1:10" ht="16.2" thickBot="1" x14ac:dyDescent="0.35">
      <c r="A2" s="27"/>
      <c r="B2" s="27"/>
    </row>
    <row r="3" spans="1:10" s="10" customFormat="1" ht="18.600000000000001" thickBot="1" x14ac:dyDescent="0.4">
      <c r="A3" s="31" t="s">
        <v>1</v>
      </c>
      <c r="B3" s="31" t="s">
        <v>2</v>
      </c>
      <c r="C3" s="31" t="s">
        <v>136</v>
      </c>
      <c r="D3" s="31" t="s">
        <v>3</v>
      </c>
      <c r="E3" s="31"/>
      <c r="F3" s="31"/>
      <c r="G3" s="31"/>
      <c r="H3" s="31"/>
      <c r="I3" s="31"/>
      <c r="J3" s="31"/>
    </row>
    <row r="4" spans="1:10" s="10" customFormat="1" ht="16.2" thickBot="1" x14ac:dyDescent="0.35">
      <c r="A4" s="32" t="s">
        <v>4</v>
      </c>
      <c r="B4" s="32" t="s">
        <v>5</v>
      </c>
      <c r="C4" s="32" t="s">
        <v>6</v>
      </c>
      <c r="D4" s="32" t="s">
        <v>7</v>
      </c>
      <c r="E4" s="32" t="s">
        <v>8</v>
      </c>
      <c r="F4" s="32" t="s">
        <v>200</v>
      </c>
      <c r="G4" s="32" t="s">
        <v>167</v>
      </c>
      <c r="H4" s="32" t="s">
        <v>9</v>
      </c>
      <c r="I4" s="32" t="s">
        <v>10</v>
      </c>
      <c r="J4" s="32" t="s">
        <v>11</v>
      </c>
    </row>
    <row r="5" spans="1:10" ht="16.2" thickBot="1" x14ac:dyDescent="0.35">
      <c r="A5" s="28">
        <v>16340</v>
      </c>
      <c r="B5" s="28" t="s">
        <v>12</v>
      </c>
      <c r="C5" s="28" t="s">
        <v>13</v>
      </c>
      <c r="D5" s="29">
        <v>231263.29</v>
      </c>
      <c r="E5" s="29">
        <v>46252.658000000003</v>
      </c>
      <c r="F5" s="29"/>
      <c r="G5" s="29">
        <v>0</v>
      </c>
      <c r="H5" s="77">
        <f>IF(F5="En Cubicacion",E5,E5+G5)</f>
        <v>46252.658000000003</v>
      </c>
      <c r="I5" s="28" t="s">
        <v>14</v>
      </c>
      <c r="J5" s="30">
        <f>H5/D5*100%</f>
        <v>0.2</v>
      </c>
    </row>
    <row r="6" spans="1:10" ht="16.2" thickBot="1" x14ac:dyDescent="0.35">
      <c r="A6" s="28">
        <v>16340</v>
      </c>
      <c r="B6" s="28" t="s">
        <v>12</v>
      </c>
      <c r="C6" s="28" t="s">
        <v>15</v>
      </c>
      <c r="D6" s="29">
        <v>4023612.21</v>
      </c>
      <c r="E6" s="29">
        <v>804722.44200000004</v>
      </c>
      <c r="F6" s="29" t="s">
        <v>201</v>
      </c>
      <c r="G6" s="29">
        <v>1701350.95</v>
      </c>
      <c r="H6" s="29">
        <f t="shared" ref="H6:H19" si="0">IF(F6="En Cubicacion",E6,E6+G6)</f>
        <v>804722.44200000004</v>
      </c>
      <c r="I6" s="28" t="s">
        <v>14</v>
      </c>
      <c r="J6" s="30">
        <f t="shared" ref="J6:J19" si="1">H6/D6*100%</f>
        <v>0.2</v>
      </c>
    </row>
    <row r="7" spans="1:10" ht="16.2" thickBot="1" x14ac:dyDescent="0.35">
      <c r="A7" s="28">
        <v>16340</v>
      </c>
      <c r="B7" s="28" t="s">
        <v>12</v>
      </c>
      <c r="C7" s="28" t="s">
        <v>16</v>
      </c>
      <c r="D7" s="29">
        <v>523486.66</v>
      </c>
      <c r="E7" s="29">
        <v>104697.33199999999</v>
      </c>
      <c r="F7" s="29"/>
      <c r="G7" s="29">
        <v>0</v>
      </c>
      <c r="H7" s="29">
        <f t="shared" si="0"/>
        <v>104697.33199999999</v>
      </c>
      <c r="I7" s="28" t="s">
        <v>14</v>
      </c>
      <c r="J7" s="30">
        <f t="shared" si="1"/>
        <v>0.2</v>
      </c>
    </row>
    <row r="8" spans="1:10" ht="16.2" thickBot="1" x14ac:dyDescent="0.35">
      <c r="A8" s="28">
        <v>16340</v>
      </c>
      <c r="B8" s="28" t="s">
        <v>12</v>
      </c>
      <c r="C8" s="28" t="s">
        <v>17</v>
      </c>
      <c r="D8" s="29">
        <v>2292599.09</v>
      </c>
      <c r="E8" s="29">
        <v>458519.81799999997</v>
      </c>
      <c r="F8" s="29" t="s">
        <v>201</v>
      </c>
      <c r="G8" s="29">
        <v>524266.67</v>
      </c>
      <c r="H8" s="29">
        <f t="shared" si="0"/>
        <v>458519.81799999997</v>
      </c>
      <c r="I8" s="28" t="s">
        <v>14</v>
      </c>
      <c r="J8" s="30">
        <f t="shared" si="1"/>
        <v>0.2</v>
      </c>
    </row>
    <row r="9" spans="1:10" ht="16.2" thickBot="1" x14ac:dyDescent="0.35">
      <c r="A9" s="28">
        <v>16340</v>
      </c>
      <c r="B9" s="28" t="s">
        <v>12</v>
      </c>
      <c r="C9" s="28" t="s">
        <v>18</v>
      </c>
      <c r="D9" s="29">
        <v>404519.67</v>
      </c>
      <c r="E9" s="29">
        <v>80903.934000000008</v>
      </c>
      <c r="F9" s="29"/>
      <c r="G9" s="29">
        <v>0</v>
      </c>
      <c r="H9" s="29">
        <f t="shared" si="0"/>
        <v>80903.934000000008</v>
      </c>
      <c r="I9" s="28" t="s">
        <v>14</v>
      </c>
      <c r="J9" s="30">
        <f t="shared" si="1"/>
        <v>0.20000000000000004</v>
      </c>
    </row>
    <row r="10" spans="1:10" ht="16.2" thickBot="1" x14ac:dyDescent="0.35">
      <c r="A10" s="28">
        <v>16340</v>
      </c>
      <c r="B10" s="28" t="s">
        <v>12</v>
      </c>
      <c r="C10" s="28" t="s">
        <v>19</v>
      </c>
      <c r="D10" s="29">
        <v>360198.56</v>
      </c>
      <c r="E10" s="29">
        <v>72039.712</v>
      </c>
      <c r="F10" s="29"/>
      <c r="G10" s="29">
        <v>0</v>
      </c>
      <c r="H10" s="29">
        <f t="shared" si="0"/>
        <v>72039.712</v>
      </c>
      <c r="I10" s="28" t="s">
        <v>14</v>
      </c>
      <c r="J10" s="30">
        <f t="shared" si="1"/>
        <v>0.2</v>
      </c>
    </row>
    <row r="11" spans="1:10" ht="16.2" thickBot="1" x14ac:dyDescent="0.35">
      <c r="A11" s="28">
        <v>16340</v>
      </c>
      <c r="B11" s="28" t="s">
        <v>12</v>
      </c>
      <c r="C11" s="28" t="s">
        <v>20</v>
      </c>
      <c r="D11" s="29">
        <v>453564.99</v>
      </c>
      <c r="E11" s="29">
        <v>90712.998000000007</v>
      </c>
      <c r="F11" s="29" t="s">
        <v>201</v>
      </c>
      <c r="G11" s="29">
        <v>222076.21</v>
      </c>
      <c r="H11" s="29">
        <f t="shared" si="0"/>
        <v>90712.998000000007</v>
      </c>
      <c r="I11" s="28" t="s">
        <v>14</v>
      </c>
      <c r="J11" s="30">
        <f t="shared" si="1"/>
        <v>0.2</v>
      </c>
    </row>
    <row r="12" spans="1:10" ht="16.2" thickBot="1" x14ac:dyDescent="0.35">
      <c r="A12" s="28">
        <v>16340</v>
      </c>
      <c r="B12" s="28" t="s">
        <v>12</v>
      </c>
      <c r="C12" s="28" t="s">
        <v>21</v>
      </c>
      <c r="D12" s="29">
        <v>717370.34</v>
      </c>
      <c r="E12" s="29">
        <v>143474.068</v>
      </c>
      <c r="F12" s="29" t="s">
        <v>201</v>
      </c>
      <c r="G12" s="29">
        <v>305677.44</v>
      </c>
      <c r="H12" s="29">
        <f t="shared" si="0"/>
        <v>143474.068</v>
      </c>
      <c r="I12" s="28" t="s">
        <v>14</v>
      </c>
      <c r="J12" s="30">
        <f t="shared" si="1"/>
        <v>0.2</v>
      </c>
    </row>
    <row r="13" spans="1:10" ht="16.2" thickBot="1" x14ac:dyDescent="0.35">
      <c r="A13" s="28">
        <v>16340</v>
      </c>
      <c r="B13" s="28" t="s">
        <v>12</v>
      </c>
      <c r="C13" s="28" t="s">
        <v>22</v>
      </c>
      <c r="D13" s="29">
        <v>180968.24</v>
      </c>
      <c r="E13" s="29">
        <v>36193.648000000001</v>
      </c>
      <c r="F13" s="29" t="s">
        <v>201</v>
      </c>
      <c r="G13" s="29">
        <v>80610.259999999995</v>
      </c>
      <c r="H13" s="29">
        <f t="shared" si="0"/>
        <v>36193.648000000001</v>
      </c>
      <c r="I13" s="28" t="s">
        <v>14</v>
      </c>
      <c r="J13" s="30">
        <f t="shared" si="1"/>
        <v>0.2</v>
      </c>
    </row>
    <row r="14" spans="1:10" ht="16.2" thickBot="1" x14ac:dyDescent="0.35">
      <c r="A14" s="28">
        <v>16340</v>
      </c>
      <c r="B14" s="28" t="s">
        <v>12</v>
      </c>
      <c r="C14" s="28" t="s">
        <v>23</v>
      </c>
      <c r="D14" s="29">
        <v>2414870.65</v>
      </c>
      <c r="E14" s="29">
        <v>482974.13</v>
      </c>
      <c r="F14" s="29" t="s">
        <v>201</v>
      </c>
      <c r="G14" s="29">
        <v>829413.55</v>
      </c>
      <c r="H14" s="29">
        <f t="shared" si="0"/>
        <v>482974.13</v>
      </c>
      <c r="I14" s="28" t="s">
        <v>14</v>
      </c>
      <c r="J14" s="30">
        <f t="shared" si="1"/>
        <v>0.2</v>
      </c>
    </row>
    <row r="15" spans="1:10" ht="16.2" thickBot="1" x14ac:dyDescent="0.35">
      <c r="A15" s="28">
        <v>16879</v>
      </c>
      <c r="B15" s="28" t="s">
        <v>24</v>
      </c>
      <c r="C15" s="28" t="s">
        <v>16</v>
      </c>
      <c r="D15" s="29">
        <v>3077688.25</v>
      </c>
      <c r="E15" s="29">
        <v>615537.65</v>
      </c>
      <c r="F15" s="29" t="s">
        <v>201</v>
      </c>
      <c r="G15" s="29">
        <v>128472.95</v>
      </c>
      <c r="H15" s="29">
        <f t="shared" si="0"/>
        <v>615537.65</v>
      </c>
      <c r="I15" s="28" t="s">
        <v>14</v>
      </c>
      <c r="J15" s="30">
        <f t="shared" si="1"/>
        <v>0.2</v>
      </c>
    </row>
    <row r="16" spans="1:10" ht="16.2" thickBot="1" x14ac:dyDescent="0.35">
      <c r="A16" s="28">
        <v>16879</v>
      </c>
      <c r="B16" s="28" t="s">
        <v>25</v>
      </c>
      <c r="C16" s="28" t="s">
        <v>26</v>
      </c>
      <c r="D16" s="29">
        <v>2800162.26</v>
      </c>
      <c r="E16" s="29">
        <v>560032.45199999993</v>
      </c>
      <c r="F16" s="29" t="s">
        <v>201</v>
      </c>
      <c r="G16" s="29">
        <v>457422.03</v>
      </c>
      <c r="H16" s="29">
        <f t="shared" si="0"/>
        <v>560032.45199999993</v>
      </c>
      <c r="I16" s="28" t="s">
        <v>14</v>
      </c>
      <c r="J16" s="30">
        <f t="shared" si="1"/>
        <v>0.19999999999999998</v>
      </c>
    </row>
    <row r="17" spans="1:10" ht="16.2" thickBot="1" x14ac:dyDescent="0.35">
      <c r="A17" s="28">
        <v>16879</v>
      </c>
      <c r="B17" s="28" t="s">
        <v>25</v>
      </c>
      <c r="C17" s="28" t="s">
        <v>18</v>
      </c>
      <c r="D17" s="29">
        <v>2800162.26</v>
      </c>
      <c r="E17" s="29">
        <v>560032.45199999993</v>
      </c>
      <c r="F17" s="29" t="s">
        <v>201</v>
      </c>
      <c r="G17" s="29">
        <v>577719.63</v>
      </c>
      <c r="H17" s="29">
        <f t="shared" si="0"/>
        <v>560032.45199999993</v>
      </c>
      <c r="I17" s="28" t="s">
        <v>14</v>
      </c>
      <c r="J17" s="30">
        <f t="shared" si="1"/>
        <v>0.19999999999999998</v>
      </c>
    </row>
    <row r="18" spans="1:10" ht="16.2" thickBot="1" x14ac:dyDescent="0.35">
      <c r="A18" s="28">
        <v>16879</v>
      </c>
      <c r="B18" s="28" t="s">
        <v>25</v>
      </c>
      <c r="C18" s="28" t="s">
        <v>13</v>
      </c>
      <c r="D18" s="29">
        <v>2800162.26</v>
      </c>
      <c r="E18" s="29">
        <v>560032.45199999993</v>
      </c>
      <c r="F18" s="29" t="s">
        <v>201</v>
      </c>
      <c r="G18" s="29">
        <v>577719.63</v>
      </c>
      <c r="H18" s="29">
        <f t="shared" si="0"/>
        <v>560032.45199999993</v>
      </c>
      <c r="I18" s="28" t="s">
        <v>14</v>
      </c>
      <c r="J18" s="30">
        <f t="shared" si="1"/>
        <v>0.19999999999999998</v>
      </c>
    </row>
    <row r="19" spans="1:10" ht="16.2" thickBot="1" x14ac:dyDescent="0.35">
      <c r="A19" s="28">
        <v>16879</v>
      </c>
      <c r="B19" s="28" t="s">
        <v>25</v>
      </c>
      <c r="C19" s="28" t="s">
        <v>27</v>
      </c>
      <c r="D19" s="29">
        <v>2898102.26</v>
      </c>
      <c r="E19" s="29">
        <v>579620.45199999993</v>
      </c>
      <c r="F19" s="29"/>
      <c r="G19" s="29">
        <v>0</v>
      </c>
      <c r="H19" s="29">
        <f t="shared" si="0"/>
        <v>579620.45199999993</v>
      </c>
      <c r="I19" s="28" t="s">
        <v>14</v>
      </c>
      <c r="J19" s="30">
        <f t="shared" si="1"/>
        <v>0.19999999999999998</v>
      </c>
    </row>
    <row r="20" spans="1:10" ht="16.2" thickBot="1" x14ac:dyDescent="0.35">
      <c r="A20" s="2"/>
      <c r="B20" s="2"/>
      <c r="C20" s="2"/>
      <c r="D20" s="40">
        <f>SUM(D5:D19)</f>
        <v>25978730.989999995</v>
      </c>
      <c r="E20" s="40">
        <f>SUM(E5:E19)</f>
        <v>5195746.1979999989</v>
      </c>
      <c r="F20" s="40"/>
      <c r="G20" s="40">
        <f t="shared" ref="G20:H20" si="2">SUM(G5:G19)</f>
        <v>5404729.3200000003</v>
      </c>
      <c r="H20" s="40">
        <f t="shared" si="2"/>
        <v>5195746.1979999989</v>
      </c>
      <c r="I20" s="41"/>
      <c r="J20" s="42"/>
    </row>
    <row r="21" spans="1:10" ht="16.2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11"/>
    </row>
    <row r="22" spans="1:10" s="10" customFormat="1" ht="18.600000000000001" thickBot="1" x14ac:dyDescent="0.35">
      <c r="A22" s="33" t="s">
        <v>28</v>
      </c>
      <c r="B22" s="33" t="s">
        <v>29</v>
      </c>
      <c r="C22" s="33" t="s">
        <v>137</v>
      </c>
      <c r="D22" s="33" t="s">
        <v>30</v>
      </c>
      <c r="E22" s="33"/>
      <c r="F22" s="33"/>
      <c r="G22" s="33"/>
      <c r="H22" s="33"/>
      <c r="I22" s="33"/>
      <c r="J22" s="33"/>
    </row>
    <row r="23" spans="1:10" s="10" customFormat="1" ht="16.2" thickBot="1" x14ac:dyDescent="0.35">
      <c r="A23" s="32" t="s">
        <v>4</v>
      </c>
      <c r="B23" s="32" t="s">
        <v>5</v>
      </c>
      <c r="C23" s="32" t="s">
        <v>6</v>
      </c>
      <c r="D23" s="32" t="s">
        <v>7</v>
      </c>
      <c r="E23" s="32" t="s">
        <v>8</v>
      </c>
      <c r="F23" s="32" t="s">
        <v>200</v>
      </c>
      <c r="G23" s="32" t="s">
        <v>168</v>
      </c>
      <c r="H23" s="32" t="s">
        <v>9</v>
      </c>
      <c r="I23" s="32" t="s">
        <v>10</v>
      </c>
      <c r="J23" s="32" t="s">
        <v>11</v>
      </c>
    </row>
    <row r="24" spans="1:10" ht="16.2" thickBot="1" x14ac:dyDescent="0.35">
      <c r="A24" s="28">
        <v>16879</v>
      </c>
      <c r="B24" s="28" t="s">
        <v>31</v>
      </c>
      <c r="C24" s="28" t="s">
        <v>32</v>
      </c>
      <c r="D24" s="34">
        <v>4105445.18</v>
      </c>
      <c r="E24" s="34">
        <v>0</v>
      </c>
      <c r="F24" s="34"/>
      <c r="G24" s="34"/>
      <c r="H24" s="34">
        <f>IF(F24="En libramiento",E24,E24+G24)</f>
        <v>0</v>
      </c>
      <c r="I24" s="28" t="s">
        <v>33</v>
      </c>
      <c r="J24" s="30">
        <f t="shared" ref="J24:J31" si="3">H24/D24*100%</f>
        <v>0</v>
      </c>
    </row>
    <row r="25" spans="1:10" ht="16.2" thickBot="1" x14ac:dyDescent="0.35">
      <c r="A25" s="28">
        <v>16879</v>
      </c>
      <c r="B25" s="28" t="s">
        <v>34</v>
      </c>
      <c r="C25" s="28" t="s">
        <v>32</v>
      </c>
      <c r="D25" s="34">
        <v>4105445.18</v>
      </c>
      <c r="E25" s="34">
        <v>0</v>
      </c>
      <c r="F25" s="34"/>
      <c r="G25" s="34"/>
      <c r="H25" s="34">
        <f>IF(F25="En libramiento",E25,E25+G25)</f>
        <v>0</v>
      </c>
      <c r="I25" s="28" t="s">
        <v>33</v>
      </c>
      <c r="J25" s="30">
        <f t="shared" si="3"/>
        <v>0</v>
      </c>
    </row>
    <row r="26" spans="1:10" ht="16.2" thickBot="1" x14ac:dyDescent="0.35">
      <c r="A26" s="28">
        <v>16879</v>
      </c>
      <c r="B26" s="28" t="s">
        <v>12</v>
      </c>
      <c r="C26" s="28" t="s">
        <v>35</v>
      </c>
      <c r="D26" s="34">
        <v>2009340.36</v>
      </c>
      <c r="E26" s="34">
        <v>0</v>
      </c>
      <c r="F26" s="34" t="s">
        <v>202</v>
      </c>
      <c r="G26" s="34">
        <v>124397.93</v>
      </c>
      <c r="H26" s="34">
        <v>1020641.24</v>
      </c>
      <c r="I26" s="28" t="s">
        <v>14</v>
      </c>
      <c r="J26" s="30">
        <f>H26/D26*100%</f>
        <v>0.50794840949693554</v>
      </c>
    </row>
    <row r="27" spans="1:10" ht="16.2" thickBot="1" x14ac:dyDescent="0.35">
      <c r="A27" s="28">
        <v>16879</v>
      </c>
      <c r="B27" s="28" t="s">
        <v>12</v>
      </c>
      <c r="C27" s="28" t="s">
        <v>36</v>
      </c>
      <c r="D27" s="34">
        <v>2584327.9700000002</v>
      </c>
      <c r="E27" s="34">
        <v>0</v>
      </c>
      <c r="F27" s="34"/>
      <c r="G27" s="34">
        <v>0</v>
      </c>
      <c r="H27" s="34">
        <v>1379173.05</v>
      </c>
      <c r="I27" s="28" t="s">
        <v>14</v>
      </c>
      <c r="J27" s="30">
        <f t="shared" si="3"/>
        <v>0.53366796552528895</v>
      </c>
    </row>
    <row r="28" spans="1:10" ht="16.2" thickBot="1" x14ac:dyDescent="0.35">
      <c r="A28" s="28">
        <v>16879</v>
      </c>
      <c r="B28" s="28" t="s">
        <v>12</v>
      </c>
      <c r="C28" s="28" t="s">
        <v>37</v>
      </c>
      <c r="D28" s="34">
        <v>581155.59</v>
      </c>
      <c r="E28" s="34">
        <v>0</v>
      </c>
      <c r="F28" s="34"/>
      <c r="G28" s="34">
        <v>0</v>
      </c>
      <c r="H28" s="34">
        <v>234102.25</v>
      </c>
      <c r="I28" s="28" t="s">
        <v>14</v>
      </c>
      <c r="J28" s="30">
        <f t="shared" si="3"/>
        <v>0.40282198782601403</v>
      </c>
    </row>
    <row r="29" spans="1:10" ht="16.2" thickBot="1" x14ac:dyDescent="0.35">
      <c r="A29" s="28">
        <v>16879</v>
      </c>
      <c r="B29" s="28" t="s">
        <v>12</v>
      </c>
      <c r="C29" s="28" t="s">
        <v>38</v>
      </c>
      <c r="D29" s="34">
        <v>671509.05</v>
      </c>
      <c r="E29" s="34">
        <v>0</v>
      </c>
      <c r="F29" s="34"/>
      <c r="G29" s="34"/>
      <c r="H29" s="34">
        <f t="shared" ref="H29:H34" si="4">IF(F29="En libramiento",E29,E29+G29)</f>
        <v>0</v>
      </c>
      <c r="I29" s="28" t="s">
        <v>14</v>
      </c>
      <c r="J29" s="30">
        <v>0.2</v>
      </c>
    </row>
    <row r="30" spans="1:10" ht="16.2" thickBot="1" x14ac:dyDescent="0.35">
      <c r="A30" s="28">
        <v>16879</v>
      </c>
      <c r="B30" s="28" t="s">
        <v>12</v>
      </c>
      <c r="C30" s="28" t="s">
        <v>39</v>
      </c>
      <c r="D30" s="34">
        <v>2214571.5</v>
      </c>
      <c r="E30" s="34">
        <v>0</v>
      </c>
      <c r="F30" s="34"/>
      <c r="G30" s="34"/>
      <c r="H30" s="34">
        <f t="shared" si="4"/>
        <v>0</v>
      </c>
      <c r="I30" s="28" t="s">
        <v>14</v>
      </c>
      <c r="J30" s="30">
        <v>0.2</v>
      </c>
    </row>
    <row r="31" spans="1:10" ht="16.2" thickBot="1" x14ac:dyDescent="0.35">
      <c r="A31" s="28">
        <v>16879</v>
      </c>
      <c r="B31" s="28" t="s">
        <v>12</v>
      </c>
      <c r="C31" s="28" t="s">
        <v>40</v>
      </c>
      <c r="D31" s="34">
        <v>1298144.8700000001</v>
      </c>
      <c r="E31" s="34">
        <v>0</v>
      </c>
      <c r="F31" s="34"/>
      <c r="G31" s="34">
        <v>0</v>
      </c>
      <c r="H31" s="34">
        <v>252196.97</v>
      </c>
      <c r="I31" s="28" t="s">
        <v>14</v>
      </c>
      <c r="J31" s="30">
        <f t="shared" si="3"/>
        <v>0.19427490400204714</v>
      </c>
    </row>
    <row r="32" spans="1:10" ht="16.2" thickBot="1" x14ac:dyDescent="0.35">
      <c r="A32" s="28">
        <v>16879</v>
      </c>
      <c r="B32" s="28" t="s">
        <v>12</v>
      </c>
      <c r="C32" s="28" t="s">
        <v>41</v>
      </c>
      <c r="D32" s="34">
        <v>2424188.91</v>
      </c>
      <c r="E32" s="34">
        <v>0</v>
      </c>
      <c r="F32" s="34" t="s">
        <v>202</v>
      </c>
      <c r="G32" s="34">
        <v>1130323.26</v>
      </c>
      <c r="H32" s="34">
        <f t="shared" si="4"/>
        <v>0</v>
      </c>
      <c r="I32" s="28" t="s">
        <v>14</v>
      </c>
      <c r="J32" s="30">
        <v>0.2</v>
      </c>
    </row>
    <row r="33" spans="1:10" s="14" customFormat="1" ht="16.2" thickBot="1" x14ac:dyDescent="0.35">
      <c r="A33" s="35">
        <v>16879</v>
      </c>
      <c r="B33" s="35" t="s">
        <v>25</v>
      </c>
      <c r="C33" s="35" t="s">
        <v>42</v>
      </c>
      <c r="D33" s="36">
        <v>2813673.83</v>
      </c>
      <c r="E33" s="36">
        <v>0</v>
      </c>
      <c r="F33" s="36" t="s">
        <v>202</v>
      </c>
      <c r="G33" s="36">
        <v>569865.79</v>
      </c>
      <c r="H33" s="34">
        <f t="shared" si="4"/>
        <v>0</v>
      </c>
      <c r="I33" s="35" t="s">
        <v>14</v>
      </c>
      <c r="J33" s="30">
        <v>0.2</v>
      </c>
    </row>
    <row r="34" spans="1:10" s="14" customFormat="1" ht="16.2" thickBot="1" x14ac:dyDescent="0.35">
      <c r="A34" s="35">
        <v>16879</v>
      </c>
      <c r="B34" s="35" t="s">
        <v>25</v>
      </c>
      <c r="C34" s="35" t="s">
        <v>40</v>
      </c>
      <c r="D34" s="36">
        <v>2813673.83</v>
      </c>
      <c r="E34" s="36">
        <v>0</v>
      </c>
      <c r="F34" s="36"/>
      <c r="G34" s="36">
        <v>0</v>
      </c>
      <c r="H34" s="34">
        <f t="shared" si="4"/>
        <v>0</v>
      </c>
      <c r="I34" s="35" t="s">
        <v>14</v>
      </c>
      <c r="J34" s="30">
        <v>0.2</v>
      </c>
    </row>
    <row r="35" spans="1:10" s="14" customFormat="1" ht="16.2" thickBot="1" x14ac:dyDescent="0.35">
      <c r="A35" s="13"/>
      <c r="B35" s="13"/>
      <c r="C35" s="13"/>
      <c r="D35" s="37">
        <f>SUM(D24:D34)</f>
        <v>25621476.270000003</v>
      </c>
      <c r="E35" s="37">
        <f t="shared" ref="E35:H35" si="5">SUM(E24:E34)</f>
        <v>0</v>
      </c>
      <c r="F35" s="37"/>
      <c r="G35" s="37">
        <f t="shared" si="5"/>
        <v>1824586.98</v>
      </c>
      <c r="H35" s="37">
        <f t="shared" si="5"/>
        <v>2886113.5100000002</v>
      </c>
      <c r="I35" s="38"/>
      <c r="J35" s="39"/>
    </row>
    <row r="36" spans="1:10" s="14" customFormat="1" ht="16.2" thickBot="1" x14ac:dyDescent="0.35">
      <c r="A36" s="13"/>
      <c r="B36" s="13"/>
      <c r="C36" s="13"/>
      <c r="D36" s="1"/>
      <c r="E36" s="1"/>
      <c r="F36" s="1"/>
      <c r="G36" s="1"/>
      <c r="H36" s="1"/>
      <c r="I36" s="13"/>
      <c r="J36" s="11"/>
    </row>
    <row r="37" spans="1:10" s="15" customFormat="1" ht="18.600000000000001" thickBot="1" x14ac:dyDescent="0.35">
      <c r="A37" s="46" t="s">
        <v>110</v>
      </c>
      <c r="B37" s="46" t="s">
        <v>111</v>
      </c>
      <c r="C37" s="46" t="s">
        <v>138</v>
      </c>
      <c r="D37" s="46" t="s">
        <v>112</v>
      </c>
      <c r="E37" s="46"/>
      <c r="F37" s="46"/>
      <c r="G37" s="46"/>
      <c r="H37" s="46"/>
      <c r="I37" s="46"/>
      <c r="J37" s="46"/>
    </row>
    <row r="38" spans="1:10" s="10" customFormat="1" ht="16.2" thickBot="1" x14ac:dyDescent="0.35">
      <c r="A38" s="32" t="s">
        <v>4</v>
      </c>
      <c r="B38" s="32" t="s">
        <v>5</v>
      </c>
      <c r="C38" s="32" t="s">
        <v>6</v>
      </c>
      <c r="D38" s="32" t="s">
        <v>7</v>
      </c>
      <c r="E38" s="32" t="s">
        <v>8</v>
      </c>
      <c r="F38" s="32" t="s">
        <v>200</v>
      </c>
      <c r="G38" s="32" t="s">
        <v>168</v>
      </c>
      <c r="H38" s="32" t="s">
        <v>9</v>
      </c>
      <c r="I38" s="32" t="s">
        <v>10</v>
      </c>
      <c r="J38" s="32" t="s">
        <v>11</v>
      </c>
    </row>
    <row r="39" spans="1:10" s="5" customFormat="1" ht="16.2" thickBot="1" x14ac:dyDescent="0.35">
      <c r="A39" s="47">
        <v>16844</v>
      </c>
      <c r="B39" s="78" t="s">
        <v>52</v>
      </c>
      <c r="C39" s="47"/>
      <c r="D39" s="48">
        <v>7707477.5800000001</v>
      </c>
      <c r="E39" s="48">
        <v>0</v>
      </c>
      <c r="F39" s="48"/>
      <c r="G39" s="48"/>
      <c r="H39" s="48">
        <f t="shared" ref="H39:H51" si="6">IF(F39="En libramiento",E39,E39+G39)</f>
        <v>0</v>
      </c>
      <c r="I39" s="47" t="s">
        <v>14</v>
      </c>
      <c r="J39" s="49">
        <v>0.2</v>
      </c>
    </row>
    <row r="40" spans="1:10" s="5" customFormat="1" ht="16.2" thickBot="1" x14ac:dyDescent="0.35">
      <c r="A40" s="47">
        <v>16879</v>
      </c>
      <c r="B40" s="78" t="s">
        <v>12</v>
      </c>
      <c r="C40" s="47" t="s">
        <v>113</v>
      </c>
      <c r="D40" s="48">
        <v>2850122.36</v>
      </c>
      <c r="E40" s="48">
        <v>0</v>
      </c>
      <c r="F40" s="48" t="s">
        <v>202</v>
      </c>
      <c r="G40" s="48">
        <v>919959.75</v>
      </c>
      <c r="H40" s="48">
        <f t="shared" si="6"/>
        <v>0</v>
      </c>
      <c r="I40" s="47" t="s">
        <v>14</v>
      </c>
      <c r="J40" s="49">
        <v>0.2</v>
      </c>
    </row>
    <row r="41" spans="1:10" s="5" customFormat="1" ht="16.2" thickBot="1" x14ac:dyDescent="0.35">
      <c r="A41" s="47">
        <v>16879</v>
      </c>
      <c r="B41" s="78" t="s">
        <v>12</v>
      </c>
      <c r="C41" s="47" t="s">
        <v>44</v>
      </c>
      <c r="D41" s="48">
        <v>591558.27</v>
      </c>
      <c r="E41" s="48">
        <v>0</v>
      </c>
      <c r="F41" s="48"/>
      <c r="G41" s="48"/>
      <c r="H41" s="48">
        <f t="shared" si="6"/>
        <v>0</v>
      </c>
      <c r="I41" s="47" t="s">
        <v>14</v>
      </c>
      <c r="J41" s="49">
        <v>0.2</v>
      </c>
    </row>
    <row r="42" spans="1:10" s="5" customFormat="1" ht="16.2" thickBot="1" x14ac:dyDescent="0.35">
      <c r="A42" s="47">
        <v>16879</v>
      </c>
      <c r="B42" s="78" t="s">
        <v>12</v>
      </c>
      <c r="C42" s="47" t="s">
        <v>45</v>
      </c>
      <c r="D42" s="48">
        <v>1174581.71</v>
      </c>
      <c r="E42" s="48">
        <v>0</v>
      </c>
      <c r="F42" s="48" t="s">
        <v>202</v>
      </c>
      <c r="G42" s="48">
        <v>303958</v>
      </c>
      <c r="H42" s="48">
        <f t="shared" si="6"/>
        <v>0</v>
      </c>
      <c r="I42" s="47" t="s">
        <v>14</v>
      </c>
      <c r="J42" s="49">
        <v>0.2</v>
      </c>
    </row>
    <row r="43" spans="1:10" s="5" customFormat="1" ht="16.2" thickBot="1" x14ac:dyDescent="0.35">
      <c r="A43" s="47">
        <v>16879</v>
      </c>
      <c r="B43" s="78" t="s">
        <v>12</v>
      </c>
      <c r="C43" s="47" t="s">
        <v>43</v>
      </c>
      <c r="D43" s="48">
        <v>1176197.75</v>
      </c>
      <c r="E43" s="48">
        <v>0</v>
      </c>
      <c r="F43" s="48" t="s">
        <v>202</v>
      </c>
      <c r="G43" s="48">
        <v>104838.95</v>
      </c>
      <c r="H43" s="48">
        <f t="shared" si="6"/>
        <v>0</v>
      </c>
      <c r="I43" s="47" t="s">
        <v>14</v>
      </c>
      <c r="J43" s="49">
        <v>0.2</v>
      </c>
    </row>
    <row r="44" spans="1:10" s="5" customFormat="1" ht="16.2" thickBot="1" x14ac:dyDescent="0.35">
      <c r="A44" s="47">
        <v>16879</v>
      </c>
      <c r="B44" s="78" t="s">
        <v>12</v>
      </c>
      <c r="C44" s="47" t="s">
        <v>48</v>
      </c>
      <c r="D44" s="48">
        <v>1091934.29</v>
      </c>
      <c r="E44" s="48">
        <v>0</v>
      </c>
      <c r="F44" s="48" t="s">
        <v>202</v>
      </c>
      <c r="G44" s="48">
        <v>611905.93999999994</v>
      </c>
      <c r="H44" s="48">
        <f t="shared" si="6"/>
        <v>0</v>
      </c>
      <c r="I44" s="47" t="s">
        <v>14</v>
      </c>
      <c r="J44" s="49">
        <v>0.2</v>
      </c>
    </row>
    <row r="45" spans="1:10" s="5" customFormat="1" ht="16.2" thickBot="1" x14ac:dyDescent="0.35">
      <c r="A45" s="47">
        <v>16879</v>
      </c>
      <c r="B45" s="78" t="s">
        <v>12</v>
      </c>
      <c r="C45" s="47" t="s">
        <v>49</v>
      </c>
      <c r="D45" s="48">
        <v>2060622.85</v>
      </c>
      <c r="E45" s="48">
        <v>0</v>
      </c>
      <c r="F45" s="48" t="s">
        <v>202</v>
      </c>
      <c r="G45" s="48">
        <v>1043598.14</v>
      </c>
      <c r="H45" s="48">
        <f t="shared" si="6"/>
        <v>0</v>
      </c>
      <c r="I45" s="47" t="s">
        <v>14</v>
      </c>
      <c r="J45" s="49">
        <v>0.2</v>
      </c>
    </row>
    <row r="46" spans="1:10" s="5" customFormat="1" ht="16.2" thickBot="1" x14ac:dyDescent="0.35">
      <c r="A46" s="47">
        <v>16879</v>
      </c>
      <c r="B46" s="78" t="s">
        <v>25</v>
      </c>
      <c r="C46" s="47" t="s">
        <v>53</v>
      </c>
      <c r="D46" s="48">
        <v>2861763.94</v>
      </c>
      <c r="E46" s="48">
        <v>0</v>
      </c>
      <c r="F46" s="48" t="s">
        <v>202</v>
      </c>
      <c r="G46" s="48">
        <v>568766.18000000005</v>
      </c>
      <c r="H46" s="48">
        <f t="shared" si="6"/>
        <v>0</v>
      </c>
      <c r="I46" s="47" t="s">
        <v>14</v>
      </c>
      <c r="J46" s="49">
        <v>0.2</v>
      </c>
    </row>
    <row r="47" spans="1:10" s="5" customFormat="1" ht="16.2" thickBot="1" x14ac:dyDescent="0.35">
      <c r="A47" s="47">
        <v>16879</v>
      </c>
      <c r="B47" s="78" t="s">
        <v>25</v>
      </c>
      <c r="C47" s="47" t="s">
        <v>44</v>
      </c>
      <c r="D47" s="48">
        <v>2813673.83</v>
      </c>
      <c r="E47" s="48">
        <v>0</v>
      </c>
      <c r="F47" s="48" t="s">
        <v>202</v>
      </c>
      <c r="G47" s="48">
        <v>710066.39</v>
      </c>
      <c r="H47" s="48">
        <f t="shared" si="6"/>
        <v>0</v>
      </c>
      <c r="I47" s="47" t="s">
        <v>14</v>
      </c>
      <c r="J47" s="49">
        <v>0.2</v>
      </c>
    </row>
    <row r="48" spans="1:10" s="5" customFormat="1" ht="16.2" thickBot="1" x14ac:dyDescent="0.35">
      <c r="A48" s="47">
        <v>16879</v>
      </c>
      <c r="B48" s="78" t="s">
        <v>12</v>
      </c>
      <c r="C48" s="47" t="s">
        <v>50</v>
      </c>
      <c r="D48" s="48">
        <v>1133454.3600000001</v>
      </c>
      <c r="E48" s="48">
        <v>0</v>
      </c>
      <c r="F48" s="48"/>
      <c r="G48" s="48"/>
      <c r="H48" s="48">
        <f t="shared" si="6"/>
        <v>0</v>
      </c>
      <c r="I48" s="47" t="s">
        <v>33</v>
      </c>
      <c r="J48" s="49">
        <f t="shared" ref="J48:J51" si="7">H48/D48*100%</f>
        <v>0</v>
      </c>
    </row>
    <row r="49" spans="1:10" s="5" customFormat="1" ht="16.2" thickBot="1" x14ac:dyDescent="0.35">
      <c r="A49" s="47">
        <v>16879</v>
      </c>
      <c r="B49" s="78" t="s">
        <v>12</v>
      </c>
      <c r="C49" s="47" t="s">
        <v>47</v>
      </c>
      <c r="D49" s="48">
        <v>1042125.5</v>
      </c>
      <c r="E49" s="48">
        <v>0</v>
      </c>
      <c r="F49" s="48"/>
      <c r="G49" s="48"/>
      <c r="H49" s="48">
        <f t="shared" si="6"/>
        <v>0</v>
      </c>
      <c r="I49" s="47" t="s">
        <v>33</v>
      </c>
      <c r="J49" s="49">
        <f t="shared" si="7"/>
        <v>0</v>
      </c>
    </row>
    <row r="50" spans="1:10" s="5" customFormat="1" ht="16.2" thickBot="1" x14ac:dyDescent="0.35">
      <c r="A50" s="47">
        <v>16879</v>
      </c>
      <c r="B50" s="78" t="s">
        <v>12</v>
      </c>
      <c r="C50" s="47" t="s">
        <v>46</v>
      </c>
      <c r="D50" s="48">
        <v>970851.7</v>
      </c>
      <c r="E50" s="48">
        <v>0</v>
      </c>
      <c r="F50" s="48"/>
      <c r="G50" s="48"/>
      <c r="H50" s="48">
        <f t="shared" si="6"/>
        <v>0</v>
      </c>
      <c r="I50" s="47" t="s">
        <v>33</v>
      </c>
      <c r="J50" s="49">
        <f t="shared" si="7"/>
        <v>0</v>
      </c>
    </row>
    <row r="51" spans="1:10" s="5" customFormat="1" ht="16.2" thickBot="1" x14ac:dyDescent="0.35">
      <c r="A51" s="47">
        <v>16879</v>
      </c>
      <c r="B51" s="78" t="s">
        <v>12</v>
      </c>
      <c r="C51" s="47" t="s">
        <v>51</v>
      </c>
      <c r="D51" s="48">
        <v>3268564.92</v>
      </c>
      <c r="E51" s="48">
        <v>0</v>
      </c>
      <c r="F51" s="48"/>
      <c r="G51" s="48"/>
      <c r="H51" s="48">
        <f t="shared" si="6"/>
        <v>0</v>
      </c>
      <c r="I51" s="47" t="s">
        <v>33</v>
      </c>
      <c r="J51" s="49">
        <f t="shared" si="7"/>
        <v>0</v>
      </c>
    </row>
    <row r="52" spans="1:10" ht="16.2" thickBot="1" x14ac:dyDescent="0.35">
      <c r="A52" s="2"/>
      <c r="B52" s="2"/>
      <c r="C52" s="2"/>
      <c r="D52" s="43">
        <f>SUM(D39:D51)</f>
        <v>28742929.059999995</v>
      </c>
      <c r="E52" s="43">
        <f>SUM(E39:E51)</f>
        <v>0</v>
      </c>
      <c r="F52" s="43"/>
      <c r="G52" s="43">
        <f>SUM(G39:G51)</f>
        <v>4263093.3499999996</v>
      </c>
      <c r="H52" s="43">
        <f>SUM(H39:H51)</f>
        <v>0</v>
      </c>
      <c r="I52" s="44"/>
      <c r="J52" s="45"/>
    </row>
    <row r="53" spans="1:10" ht="16.2" thickBot="1" x14ac:dyDescent="0.35">
      <c r="A53" s="2"/>
      <c r="B53" s="2"/>
      <c r="C53" s="2"/>
      <c r="D53" s="16"/>
      <c r="E53" s="2"/>
      <c r="F53" s="2"/>
      <c r="G53" s="2"/>
      <c r="H53" s="2"/>
      <c r="I53" s="2"/>
      <c r="J53" s="9"/>
    </row>
    <row r="54" spans="1:10" ht="18.600000000000001" thickBot="1" x14ac:dyDescent="0.35">
      <c r="A54" s="46" t="s">
        <v>114</v>
      </c>
      <c r="B54" s="46" t="s">
        <v>115</v>
      </c>
      <c r="C54" s="46" t="s">
        <v>139</v>
      </c>
      <c r="D54" s="46" t="s">
        <v>116</v>
      </c>
      <c r="E54" s="46"/>
      <c r="F54" s="46"/>
      <c r="G54" s="46"/>
      <c r="H54" s="46"/>
      <c r="I54" s="46"/>
      <c r="J54" s="46"/>
    </row>
    <row r="55" spans="1:10" ht="16.2" thickBot="1" x14ac:dyDescent="0.35">
      <c r="A55" s="32" t="s">
        <v>4</v>
      </c>
      <c r="B55" s="32" t="s">
        <v>5</v>
      </c>
      <c r="C55" s="32" t="s">
        <v>6</v>
      </c>
      <c r="D55" s="32" t="s">
        <v>7</v>
      </c>
      <c r="E55" s="32" t="s">
        <v>8</v>
      </c>
      <c r="F55" s="32" t="s">
        <v>200</v>
      </c>
      <c r="G55" s="32" t="s">
        <v>169</v>
      </c>
      <c r="H55" s="32" t="s">
        <v>9</v>
      </c>
      <c r="I55" s="32" t="s">
        <v>10</v>
      </c>
      <c r="J55" s="32" t="s">
        <v>11</v>
      </c>
    </row>
    <row r="56" spans="1:10" s="5" customFormat="1" ht="16.2" thickBot="1" x14ac:dyDescent="0.35">
      <c r="A56" s="47">
        <v>16879</v>
      </c>
      <c r="B56" s="47" t="s">
        <v>12</v>
      </c>
      <c r="C56" s="47" t="s">
        <v>55</v>
      </c>
      <c r="D56" s="48">
        <v>648739.39</v>
      </c>
      <c r="E56" s="48">
        <v>129747.87800000001</v>
      </c>
      <c r="F56" s="48">
        <v>0</v>
      </c>
      <c r="G56" s="48">
        <v>393436.7</v>
      </c>
      <c r="H56" s="48">
        <f>E56</f>
        <v>129747.87800000001</v>
      </c>
      <c r="I56" s="48" t="s">
        <v>14</v>
      </c>
      <c r="J56" s="49">
        <v>0.2</v>
      </c>
    </row>
    <row r="57" spans="1:10" s="5" customFormat="1" ht="16.2" thickBot="1" x14ac:dyDescent="0.35">
      <c r="A57" s="47">
        <v>16879</v>
      </c>
      <c r="B57" s="47" t="s">
        <v>12</v>
      </c>
      <c r="C57" s="47" t="s">
        <v>57</v>
      </c>
      <c r="D57" s="48">
        <v>1396857.16</v>
      </c>
      <c r="E57" s="48">
        <v>279371.43199999997</v>
      </c>
      <c r="F57" s="48">
        <v>0</v>
      </c>
      <c r="G57" s="48">
        <v>982993.32000000007</v>
      </c>
      <c r="H57" s="48">
        <f t="shared" ref="H57:H61" si="8">E57</f>
        <v>279371.43199999997</v>
      </c>
      <c r="I57" s="48" t="s">
        <v>14</v>
      </c>
      <c r="J57" s="49">
        <v>0.2</v>
      </c>
    </row>
    <row r="58" spans="1:10" s="5" customFormat="1" ht="16.2" thickBot="1" x14ac:dyDescent="0.35">
      <c r="A58" s="47">
        <v>16879</v>
      </c>
      <c r="B58" s="47" t="s">
        <v>25</v>
      </c>
      <c r="C58" s="47" t="s">
        <v>58</v>
      </c>
      <c r="D58" s="48">
        <v>2813673.83</v>
      </c>
      <c r="E58" s="48">
        <v>562734.76600000006</v>
      </c>
      <c r="F58" s="48">
        <v>0</v>
      </c>
      <c r="G58" s="48">
        <v>0</v>
      </c>
      <c r="H58" s="48">
        <f t="shared" si="8"/>
        <v>562734.76600000006</v>
      </c>
      <c r="I58" s="48" t="s">
        <v>14</v>
      </c>
      <c r="J58" s="49">
        <f t="shared" ref="J58:J61" si="9">H58/D58*100%</f>
        <v>0.2</v>
      </c>
    </row>
    <row r="59" spans="1:10" s="5" customFormat="1" ht="16.2" thickBot="1" x14ac:dyDescent="0.35">
      <c r="A59" s="47">
        <v>16879</v>
      </c>
      <c r="B59" s="47" t="s">
        <v>25</v>
      </c>
      <c r="C59" s="47" t="s">
        <v>59</v>
      </c>
      <c r="D59" s="48">
        <v>2813673.83</v>
      </c>
      <c r="E59" s="48">
        <v>562734.76600000006</v>
      </c>
      <c r="F59" s="48">
        <v>0</v>
      </c>
      <c r="G59" s="48">
        <v>0</v>
      </c>
      <c r="H59" s="48">
        <f t="shared" si="8"/>
        <v>562734.76600000006</v>
      </c>
      <c r="I59" s="48" t="s">
        <v>14</v>
      </c>
      <c r="J59" s="49">
        <f t="shared" si="9"/>
        <v>0.2</v>
      </c>
    </row>
    <row r="60" spans="1:10" s="5" customFormat="1" ht="16.2" thickBot="1" x14ac:dyDescent="0.35">
      <c r="A60" s="47">
        <v>16879</v>
      </c>
      <c r="B60" s="47" t="s">
        <v>12</v>
      </c>
      <c r="C60" s="47" t="s">
        <v>54</v>
      </c>
      <c r="D60" s="48">
        <v>1462416.01</v>
      </c>
      <c r="E60" s="48">
        <v>0</v>
      </c>
      <c r="F60" s="48">
        <v>0</v>
      </c>
      <c r="G60" s="48">
        <v>0</v>
      </c>
      <c r="H60" s="48">
        <f t="shared" si="8"/>
        <v>0</v>
      </c>
      <c r="I60" s="48" t="s">
        <v>33</v>
      </c>
      <c r="J60" s="49">
        <f t="shared" si="9"/>
        <v>0</v>
      </c>
    </row>
    <row r="61" spans="1:10" s="5" customFormat="1" ht="16.2" thickBot="1" x14ac:dyDescent="0.35">
      <c r="A61" s="47">
        <v>16879</v>
      </c>
      <c r="B61" s="47" t="s">
        <v>12</v>
      </c>
      <c r="C61" s="47" t="s">
        <v>56</v>
      </c>
      <c r="D61" s="48">
        <v>2808124.01</v>
      </c>
      <c r="E61" s="48">
        <v>0</v>
      </c>
      <c r="F61" s="48">
        <v>0</v>
      </c>
      <c r="G61" s="48">
        <v>0</v>
      </c>
      <c r="H61" s="48">
        <f t="shared" si="8"/>
        <v>0</v>
      </c>
      <c r="I61" s="48" t="s">
        <v>33</v>
      </c>
      <c r="J61" s="49">
        <f t="shared" si="9"/>
        <v>0</v>
      </c>
    </row>
    <row r="62" spans="1:10" ht="16.2" thickBot="1" x14ac:dyDescent="0.35">
      <c r="A62" s="2"/>
      <c r="B62" s="2"/>
      <c r="C62" s="2"/>
      <c r="D62" s="50">
        <f>SUM(D56:D61)</f>
        <v>11943484.23</v>
      </c>
      <c r="E62" s="50">
        <f t="shared" ref="E62:H62" si="10">SUM(E56:E61)</f>
        <v>1534588.8420000002</v>
      </c>
      <c r="F62" s="50"/>
      <c r="G62" s="50">
        <f t="shared" si="10"/>
        <v>1376430.02</v>
      </c>
      <c r="H62" s="50">
        <f t="shared" si="10"/>
        <v>1534588.8420000002</v>
      </c>
      <c r="I62" s="51"/>
      <c r="J62" s="52"/>
    </row>
    <row r="63" spans="1:10" ht="16.2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9"/>
    </row>
    <row r="64" spans="1:10" s="17" customFormat="1" ht="18.600000000000001" thickBot="1" x14ac:dyDescent="0.35">
      <c r="A64" s="53" t="s">
        <v>117</v>
      </c>
      <c r="B64" s="53" t="s">
        <v>122</v>
      </c>
      <c r="C64" s="53" t="s">
        <v>140</v>
      </c>
      <c r="D64" s="53"/>
      <c r="E64" s="53"/>
      <c r="F64" s="53"/>
      <c r="G64" s="53"/>
      <c r="H64" s="53"/>
      <c r="I64" s="53"/>
      <c r="J64" s="53"/>
    </row>
    <row r="65" spans="1:10" s="10" customFormat="1" ht="16.2" thickBot="1" x14ac:dyDescent="0.35">
      <c r="A65" s="32" t="s">
        <v>4</v>
      </c>
      <c r="B65" s="32" t="s">
        <v>5</v>
      </c>
      <c r="C65" s="32" t="s">
        <v>6</v>
      </c>
      <c r="D65" s="32" t="s">
        <v>7</v>
      </c>
      <c r="E65" s="32" t="s">
        <v>8</v>
      </c>
      <c r="F65" s="32" t="s">
        <v>200</v>
      </c>
      <c r="G65" s="32" t="s">
        <v>169</v>
      </c>
      <c r="H65" s="32" t="s">
        <v>9</v>
      </c>
      <c r="I65" s="32" t="s">
        <v>10</v>
      </c>
      <c r="J65" s="32" t="s">
        <v>11</v>
      </c>
    </row>
    <row r="66" spans="1:10" ht="16.2" thickBot="1" x14ac:dyDescent="0.35">
      <c r="A66" s="28">
        <v>16340</v>
      </c>
      <c r="B66" s="62" t="s">
        <v>12</v>
      </c>
      <c r="C66" s="28" t="s">
        <v>66</v>
      </c>
      <c r="D66" s="34">
        <v>422400.31</v>
      </c>
      <c r="E66" s="34">
        <v>84480.062000000005</v>
      </c>
      <c r="F66" s="34"/>
      <c r="G66" s="34">
        <v>0</v>
      </c>
      <c r="H66" s="34">
        <f>IF(F66="En libramiento",E66,E66+G66)</f>
        <v>84480.062000000005</v>
      </c>
      <c r="I66" s="28" t="s">
        <v>14</v>
      </c>
      <c r="J66" s="54">
        <f t="shared" ref="J66:J84" si="11">H66/D66*100%</f>
        <v>0.2</v>
      </c>
    </row>
    <row r="67" spans="1:10" ht="16.2" thickBot="1" x14ac:dyDescent="0.35">
      <c r="A67" s="28">
        <v>16340</v>
      </c>
      <c r="B67" s="62" t="s">
        <v>12</v>
      </c>
      <c r="C67" s="28" t="s">
        <v>67</v>
      </c>
      <c r="D67" s="34">
        <v>269102.55</v>
      </c>
      <c r="E67" s="34">
        <v>53820.51</v>
      </c>
      <c r="F67" s="34"/>
      <c r="G67" s="34">
        <v>0</v>
      </c>
      <c r="H67" s="34">
        <f t="shared" ref="H67:H84" si="12">IF(F67="En libramiento",E67,E67+G67)</f>
        <v>53820.51</v>
      </c>
      <c r="I67" s="28" t="s">
        <v>14</v>
      </c>
      <c r="J67" s="54">
        <f t="shared" si="11"/>
        <v>0.2</v>
      </c>
    </row>
    <row r="68" spans="1:10" ht="16.2" thickBot="1" x14ac:dyDescent="0.35">
      <c r="A68" s="28">
        <v>16340</v>
      </c>
      <c r="B68" s="62" t="s">
        <v>12</v>
      </c>
      <c r="C68" s="28" t="s">
        <v>69</v>
      </c>
      <c r="D68" s="34">
        <v>331387.64</v>
      </c>
      <c r="E68" s="34">
        <v>66277.528000000006</v>
      </c>
      <c r="F68" s="34"/>
      <c r="G68" s="34">
        <v>0</v>
      </c>
      <c r="H68" s="34">
        <f t="shared" si="12"/>
        <v>66277.528000000006</v>
      </c>
      <c r="I68" s="28" t="s">
        <v>14</v>
      </c>
      <c r="J68" s="54">
        <f t="shared" si="11"/>
        <v>0.2</v>
      </c>
    </row>
    <row r="69" spans="1:10" ht="16.2" thickBot="1" x14ac:dyDescent="0.35">
      <c r="A69" s="28">
        <v>16340</v>
      </c>
      <c r="B69" s="62" t="s">
        <v>12</v>
      </c>
      <c r="C69" s="28" t="s">
        <v>119</v>
      </c>
      <c r="D69" s="34">
        <v>291918.65000000002</v>
      </c>
      <c r="E69" s="34">
        <v>58383.73000000001</v>
      </c>
      <c r="F69" s="34"/>
      <c r="G69" s="34">
        <v>0</v>
      </c>
      <c r="H69" s="34">
        <f t="shared" si="12"/>
        <v>58383.73000000001</v>
      </c>
      <c r="I69" s="28" t="s">
        <v>14</v>
      </c>
      <c r="J69" s="54">
        <f t="shared" si="11"/>
        <v>0.2</v>
      </c>
    </row>
    <row r="70" spans="1:10" ht="16.2" thickBot="1" x14ac:dyDescent="0.35">
      <c r="A70" s="28">
        <v>16340</v>
      </c>
      <c r="B70" s="62" t="s">
        <v>12</v>
      </c>
      <c r="C70" s="28" t="s">
        <v>70</v>
      </c>
      <c r="D70" s="34">
        <v>258195.18</v>
      </c>
      <c r="E70" s="34">
        <v>51639.036</v>
      </c>
      <c r="F70" s="34"/>
      <c r="G70" s="34">
        <v>0</v>
      </c>
      <c r="H70" s="34">
        <f t="shared" si="12"/>
        <v>51639.036</v>
      </c>
      <c r="I70" s="28" t="s">
        <v>14</v>
      </c>
      <c r="J70" s="54">
        <f t="shared" si="11"/>
        <v>0.2</v>
      </c>
    </row>
    <row r="71" spans="1:10" ht="16.2" thickBot="1" x14ac:dyDescent="0.35">
      <c r="A71" s="28">
        <v>16340</v>
      </c>
      <c r="B71" s="62" t="s">
        <v>12</v>
      </c>
      <c r="C71" s="28" t="s">
        <v>72</v>
      </c>
      <c r="D71" s="34">
        <v>161338.49</v>
      </c>
      <c r="E71" s="34">
        <v>32267.698</v>
      </c>
      <c r="F71" s="34"/>
      <c r="G71" s="34">
        <v>0</v>
      </c>
      <c r="H71" s="34">
        <f t="shared" si="12"/>
        <v>32267.698</v>
      </c>
      <c r="I71" s="28" t="s">
        <v>14</v>
      </c>
      <c r="J71" s="54">
        <f t="shared" si="11"/>
        <v>0.2</v>
      </c>
    </row>
    <row r="72" spans="1:10" ht="16.2" thickBot="1" x14ac:dyDescent="0.35">
      <c r="A72" s="28">
        <v>16340</v>
      </c>
      <c r="B72" s="62" t="s">
        <v>12</v>
      </c>
      <c r="C72" s="28" t="s">
        <v>120</v>
      </c>
      <c r="D72" s="34">
        <v>400917.65</v>
      </c>
      <c r="E72" s="34">
        <v>80183.530000000013</v>
      </c>
      <c r="F72" s="34"/>
      <c r="G72" s="34">
        <v>0</v>
      </c>
      <c r="H72" s="34">
        <f t="shared" si="12"/>
        <v>80183.530000000013</v>
      </c>
      <c r="I72" s="28" t="s">
        <v>14</v>
      </c>
      <c r="J72" s="54">
        <f t="shared" si="11"/>
        <v>0.2</v>
      </c>
    </row>
    <row r="73" spans="1:10" ht="16.2" thickBot="1" x14ac:dyDescent="0.35">
      <c r="A73" s="28">
        <v>16340</v>
      </c>
      <c r="B73" s="62" t="s">
        <v>12</v>
      </c>
      <c r="C73" s="28" t="s">
        <v>121</v>
      </c>
      <c r="D73" s="34">
        <v>414473.32</v>
      </c>
      <c r="E73" s="34">
        <v>82894.664000000004</v>
      </c>
      <c r="F73" s="34"/>
      <c r="G73" s="34">
        <v>0</v>
      </c>
      <c r="H73" s="34">
        <f t="shared" si="12"/>
        <v>82894.664000000004</v>
      </c>
      <c r="I73" s="28" t="s">
        <v>14</v>
      </c>
      <c r="J73" s="54">
        <f t="shared" si="11"/>
        <v>0.2</v>
      </c>
    </row>
    <row r="74" spans="1:10" ht="16.2" thickBot="1" x14ac:dyDescent="0.35">
      <c r="A74" s="28">
        <v>16340</v>
      </c>
      <c r="B74" s="62" t="s">
        <v>12</v>
      </c>
      <c r="C74" s="28" t="s">
        <v>203</v>
      </c>
      <c r="D74" s="34">
        <v>497311.45</v>
      </c>
      <c r="E74" s="34">
        <v>99462.290000000008</v>
      </c>
      <c r="F74" s="34"/>
      <c r="G74" s="34">
        <v>0</v>
      </c>
      <c r="H74" s="34">
        <f t="shared" si="12"/>
        <v>99462.290000000008</v>
      </c>
      <c r="I74" s="28" t="s">
        <v>14</v>
      </c>
      <c r="J74" s="54">
        <f t="shared" si="11"/>
        <v>0.2</v>
      </c>
    </row>
    <row r="75" spans="1:10" ht="16.2" thickBot="1" x14ac:dyDescent="0.35">
      <c r="A75" s="28">
        <v>16340</v>
      </c>
      <c r="B75" s="62" t="s">
        <v>12</v>
      </c>
      <c r="C75" s="28" t="s">
        <v>60</v>
      </c>
      <c r="D75" s="34">
        <v>348722.69</v>
      </c>
      <c r="E75" s="34">
        <v>69744.538</v>
      </c>
      <c r="F75" s="34"/>
      <c r="G75" s="34">
        <v>0</v>
      </c>
      <c r="H75" s="34">
        <f t="shared" si="12"/>
        <v>69744.538</v>
      </c>
      <c r="I75" s="28" t="s">
        <v>14</v>
      </c>
      <c r="J75" s="54">
        <f t="shared" si="11"/>
        <v>0.2</v>
      </c>
    </row>
    <row r="76" spans="1:10" ht="16.2" thickBot="1" x14ac:dyDescent="0.35">
      <c r="A76" s="28">
        <v>16340</v>
      </c>
      <c r="B76" s="62" t="s">
        <v>12</v>
      </c>
      <c r="C76" s="28" t="s">
        <v>62</v>
      </c>
      <c r="D76" s="34">
        <v>565638.86</v>
      </c>
      <c r="E76" s="34">
        <v>113127.772</v>
      </c>
      <c r="F76" s="34"/>
      <c r="G76" s="34">
        <v>0</v>
      </c>
      <c r="H76" s="34">
        <f t="shared" si="12"/>
        <v>113127.772</v>
      </c>
      <c r="I76" s="28" t="s">
        <v>14</v>
      </c>
      <c r="J76" s="54">
        <f t="shared" si="11"/>
        <v>0.2</v>
      </c>
    </row>
    <row r="77" spans="1:10" ht="16.2" thickBot="1" x14ac:dyDescent="0.35">
      <c r="A77" s="28">
        <v>16340</v>
      </c>
      <c r="B77" s="62" t="s">
        <v>12</v>
      </c>
      <c r="C77" s="28" t="s">
        <v>71</v>
      </c>
      <c r="D77" s="34">
        <v>494111.7</v>
      </c>
      <c r="E77" s="34">
        <v>98822.340000000011</v>
      </c>
      <c r="F77" s="34"/>
      <c r="G77" s="34">
        <v>0</v>
      </c>
      <c r="H77" s="34">
        <f t="shared" si="12"/>
        <v>98822.340000000011</v>
      </c>
      <c r="I77" s="28" t="s">
        <v>14</v>
      </c>
      <c r="J77" s="54">
        <f t="shared" si="11"/>
        <v>0.2</v>
      </c>
    </row>
    <row r="78" spans="1:10" ht="16.2" thickBot="1" x14ac:dyDescent="0.35">
      <c r="A78" s="28">
        <v>16340</v>
      </c>
      <c r="B78" s="62" t="s">
        <v>12</v>
      </c>
      <c r="C78" s="28" t="s">
        <v>63</v>
      </c>
      <c r="D78" s="34">
        <v>417265.42</v>
      </c>
      <c r="E78" s="34">
        <v>83453.084000000003</v>
      </c>
      <c r="F78" s="34"/>
      <c r="G78" s="34">
        <v>0</v>
      </c>
      <c r="H78" s="34">
        <f t="shared" si="12"/>
        <v>83453.084000000003</v>
      </c>
      <c r="I78" s="28" t="s">
        <v>14</v>
      </c>
      <c r="J78" s="54">
        <f t="shared" si="11"/>
        <v>0.2</v>
      </c>
    </row>
    <row r="79" spans="1:10" ht="16.2" thickBot="1" x14ac:dyDescent="0.35">
      <c r="A79" s="28">
        <v>16340</v>
      </c>
      <c r="B79" s="62" t="s">
        <v>12</v>
      </c>
      <c r="C79" s="28" t="s">
        <v>64</v>
      </c>
      <c r="D79" s="34">
        <v>488962.61</v>
      </c>
      <c r="E79" s="34">
        <v>97792.521999999997</v>
      </c>
      <c r="F79" s="34"/>
      <c r="G79" s="34">
        <v>0</v>
      </c>
      <c r="H79" s="34">
        <f t="shared" si="12"/>
        <v>97792.521999999997</v>
      </c>
      <c r="I79" s="28" t="s">
        <v>14</v>
      </c>
      <c r="J79" s="54">
        <f t="shared" si="11"/>
        <v>0.2</v>
      </c>
    </row>
    <row r="80" spans="1:10" ht="16.2" thickBot="1" x14ac:dyDescent="0.35">
      <c r="A80" s="28">
        <v>16340</v>
      </c>
      <c r="B80" s="62" t="s">
        <v>12</v>
      </c>
      <c r="C80" s="28" t="s">
        <v>61</v>
      </c>
      <c r="D80" s="34">
        <v>200850.72</v>
      </c>
      <c r="E80" s="34">
        <v>40170.144</v>
      </c>
      <c r="F80" s="34"/>
      <c r="G80" s="34">
        <v>0</v>
      </c>
      <c r="H80" s="34">
        <f t="shared" si="12"/>
        <v>40170.144</v>
      </c>
      <c r="I80" s="28" t="s">
        <v>14</v>
      </c>
      <c r="J80" s="54">
        <f t="shared" si="11"/>
        <v>0.2</v>
      </c>
    </row>
    <row r="81" spans="1:10" ht="16.2" thickBot="1" x14ac:dyDescent="0.35">
      <c r="A81" s="28">
        <v>16340</v>
      </c>
      <c r="B81" s="62" t="s">
        <v>12</v>
      </c>
      <c r="C81" s="28" t="s">
        <v>68</v>
      </c>
      <c r="D81" s="34">
        <v>315184.11</v>
      </c>
      <c r="E81" s="34">
        <v>63036.822</v>
      </c>
      <c r="F81" s="34"/>
      <c r="G81" s="34">
        <v>0</v>
      </c>
      <c r="H81" s="34">
        <f t="shared" si="12"/>
        <v>63036.822</v>
      </c>
      <c r="I81" s="28" t="s">
        <v>14</v>
      </c>
      <c r="J81" s="54">
        <f t="shared" si="11"/>
        <v>0.2</v>
      </c>
    </row>
    <row r="82" spans="1:10" ht="16.2" thickBot="1" x14ac:dyDescent="0.35">
      <c r="A82" s="28">
        <v>16340</v>
      </c>
      <c r="B82" s="62" t="s">
        <v>12</v>
      </c>
      <c r="C82" s="28" t="s">
        <v>65</v>
      </c>
      <c r="D82" s="34">
        <v>518507.36</v>
      </c>
      <c r="E82" s="34">
        <v>103701.47200000001</v>
      </c>
      <c r="F82" s="34"/>
      <c r="G82" s="34">
        <v>0</v>
      </c>
      <c r="H82" s="34">
        <f t="shared" si="12"/>
        <v>103701.47200000001</v>
      </c>
      <c r="I82" s="28" t="s">
        <v>14</v>
      </c>
      <c r="J82" s="54">
        <f t="shared" si="11"/>
        <v>0.2</v>
      </c>
    </row>
    <row r="83" spans="1:10" s="5" customFormat="1" ht="31.8" thickBot="1" x14ac:dyDescent="0.35">
      <c r="A83" s="47">
        <v>16340</v>
      </c>
      <c r="B83" s="78" t="s">
        <v>74</v>
      </c>
      <c r="C83" s="47"/>
      <c r="D83" s="55">
        <v>7334878.373999998</v>
      </c>
      <c r="E83" s="55">
        <v>0</v>
      </c>
      <c r="F83" s="55" t="s">
        <v>202</v>
      </c>
      <c r="G83" s="34">
        <v>5599991.6299999999</v>
      </c>
      <c r="H83" s="34">
        <f t="shared" si="12"/>
        <v>0</v>
      </c>
      <c r="I83" s="47" t="s">
        <v>14</v>
      </c>
      <c r="J83" s="54">
        <f t="shared" si="11"/>
        <v>0</v>
      </c>
    </row>
    <row r="84" spans="1:10" s="5" customFormat="1" ht="16.2" customHeight="1" thickBot="1" x14ac:dyDescent="0.35">
      <c r="A84" s="47">
        <v>16844</v>
      </c>
      <c r="B84" s="78" t="s">
        <v>118</v>
      </c>
      <c r="C84" s="47" t="s">
        <v>73</v>
      </c>
      <c r="D84" s="55">
        <v>9289531.1199999992</v>
      </c>
      <c r="E84" s="55">
        <v>0</v>
      </c>
      <c r="F84" s="55"/>
      <c r="G84" s="34">
        <v>0</v>
      </c>
      <c r="H84" s="34">
        <f t="shared" si="12"/>
        <v>0</v>
      </c>
      <c r="I84" s="56" t="s">
        <v>33</v>
      </c>
      <c r="J84" s="54">
        <f t="shared" si="11"/>
        <v>0</v>
      </c>
    </row>
    <row r="85" spans="1:10" s="19" customFormat="1" ht="16.2" customHeight="1" thickBot="1" x14ac:dyDescent="0.35">
      <c r="A85" s="18"/>
      <c r="B85" s="18"/>
      <c r="C85" s="18"/>
      <c r="D85" s="50">
        <f>SUM(D66:D84)</f>
        <v>23020698.203999996</v>
      </c>
      <c r="E85" s="50">
        <f t="shared" ref="E85:H85" si="13">SUM(E66:E84)</f>
        <v>1279257.7420000001</v>
      </c>
      <c r="F85" s="50"/>
      <c r="G85" s="50">
        <f t="shared" si="13"/>
        <v>5599991.6299999999</v>
      </c>
      <c r="H85" s="50">
        <f t="shared" si="13"/>
        <v>1279257.7420000001</v>
      </c>
      <c r="I85" s="51"/>
      <c r="J85" s="52"/>
    </row>
    <row r="86" spans="1:10" s="19" customFormat="1" ht="16.8" customHeight="1" thickBot="1" x14ac:dyDescent="0.35">
      <c r="A86" s="18"/>
      <c r="B86" s="18"/>
      <c r="C86" s="18"/>
      <c r="D86" s="4"/>
      <c r="E86" s="4"/>
      <c r="F86" s="4"/>
      <c r="G86" s="4"/>
      <c r="H86" s="4"/>
      <c r="I86" s="18"/>
      <c r="J86" s="20"/>
    </row>
    <row r="87" spans="1:10" s="21" customFormat="1" ht="16.8" customHeight="1" thickBot="1" x14ac:dyDescent="0.35">
      <c r="A87" s="57" t="s">
        <v>117</v>
      </c>
      <c r="B87" s="57" t="s">
        <v>123</v>
      </c>
      <c r="C87" s="57" t="s">
        <v>141</v>
      </c>
      <c r="D87" s="57"/>
      <c r="E87" s="57"/>
      <c r="F87" s="57"/>
      <c r="G87" s="57"/>
      <c r="H87" s="57"/>
      <c r="I87" s="57"/>
      <c r="J87" s="57"/>
    </row>
    <row r="88" spans="1:10" s="10" customFormat="1" ht="16.2" thickBot="1" x14ac:dyDescent="0.35">
      <c r="A88" s="32" t="s">
        <v>4</v>
      </c>
      <c r="B88" s="32" t="s">
        <v>75</v>
      </c>
      <c r="C88" s="32" t="s">
        <v>6</v>
      </c>
      <c r="D88" s="32" t="s">
        <v>7</v>
      </c>
      <c r="E88" s="32" t="s">
        <v>8</v>
      </c>
      <c r="F88" s="32" t="s">
        <v>204</v>
      </c>
      <c r="G88" s="32" t="s">
        <v>167</v>
      </c>
      <c r="H88" s="32" t="s">
        <v>9</v>
      </c>
      <c r="I88" s="32" t="s">
        <v>10</v>
      </c>
      <c r="J88" s="32" t="s">
        <v>11</v>
      </c>
    </row>
    <row r="89" spans="1:10" s="5" customFormat="1" ht="16.2" thickBot="1" x14ac:dyDescent="0.35">
      <c r="A89" s="47">
        <v>16340</v>
      </c>
      <c r="B89" s="47" t="s">
        <v>78</v>
      </c>
      <c r="C89" s="47"/>
      <c r="D89" s="48">
        <v>288746</v>
      </c>
      <c r="E89" s="48">
        <v>0</v>
      </c>
      <c r="F89" s="48">
        <v>0</v>
      </c>
      <c r="G89" s="48">
        <v>0</v>
      </c>
      <c r="H89" s="48">
        <v>288746</v>
      </c>
      <c r="I89" s="47" t="s">
        <v>124</v>
      </c>
      <c r="J89" s="49">
        <f>H89/D89*100%</f>
        <v>1</v>
      </c>
    </row>
    <row r="90" spans="1:10" s="5" customFormat="1" ht="16.2" thickBot="1" x14ac:dyDescent="0.35">
      <c r="A90" s="47">
        <v>16340</v>
      </c>
      <c r="B90" s="47" t="s">
        <v>83</v>
      </c>
      <c r="C90" s="47"/>
      <c r="D90" s="48">
        <v>1085600</v>
      </c>
      <c r="E90" s="48">
        <v>0</v>
      </c>
      <c r="F90" s="48">
        <v>0</v>
      </c>
      <c r="G90" s="48">
        <v>0</v>
      </c>
      <c r="H90" s="48">
        <v>0</v>
      </c>
      <c r="I90" s="47" t="s">
        <v>124</v>
      </c>
      <c r="J90" s="49">
        <f>H90/D90*100%</f>
        <v>0</v>
      </c>
    </row>
    <row r="91" spans="1:10" s="5" customFormat="1" ht="16.2" thickBot="1" x14ac:dyDescent="0.35">
      <c r="A91" s="47">
        <v>16340</v>
      </c>
      <c r="B91" s="47" t="s">
        <v>84</v>
      </c>
      <c r="C91" s="47"/>
      <c r="D91" s="48">
        <v>407599.93</v>
      </c>
      <c r="E91" s="48">
        <v>0</v>
      </c>
      <c r="F91" s="48">
        <v>0</v>
      </c>
      <c r="G91" s="48">
        <v>0</v>
      </c>
      <c r="H91" s="48">
        <v>0</v>
      </c>
      <c r="I91" s="47" t="s">
        <v>124</v>
      </c>
      <c r="J91" s="49">
        <f>H91/D91*100%</f>
        <v>0</v>
      </c>
    </row>
    <row r="92" spans="1:10" s="5" customFormat="1" ht="16.2" thickBot="1" x14ac:dyDescent="0.35">
      <c r="A92" s="47">
        <v>16844</v>
      </c>
      <c r="B92" s="47" t="s">
        <v>76</v>
      </c>
      <c r="C92" s="47"/>
      <c r="D92" s="48">
        <v>0</v>
      </c>
      <c r="E92" s="48">
        <v>0</v>
      </c>
      <c r="F92" s="48">
        <v>4960000</v>
      </c>
      <c r="G92" s="48">
        <v>0</v>
      </c>
      <c r="H92" s="48">
        <v>0</v>
      </c>
      <c r="I92" s="47" t="s">
        <v>125</v>
      </c>
      <c r="J92" s="49">
        <v>0</v>
      </c>
    </row>
    <row r="93" spans="1:10" s="5" customFormat="1" ht="16.2" thickBot="1" x14ac:dyDescent="0.35">
      <c r="A93" s="47">
        <v>16340</v>
      </c>
      <c r="B93" s="47" t="s">
        <v>77</v>
      </c>
      <c r="C93" s="47"/>
      <c r="D93" s="48">
        <v>0</v>
      </c>
      <c r="E93" s="48">
        <v>0</v>
      </c>
      <c r="F93" s="48">
        <v>0</v>
      </c>
      <c r="G93" s="48">
        <v>0</v>
      </c>
      <c r="H93" s="48">
        <v>0</v>
      </c>
      <c r="I93" s="47" t="s">
        <v>126</v>
      </c>
      <c r="J93" s="49">
        <v>0</v>
      </c>
    </row>
    <row r="94" spans="1:10" s="5" customFormat="1" ht="16.2" thickBot="1" x14ac:dyDescent="0.35">
      <c r="A94" s="47">
        <v>16340</v>
      </c>
      <c r="B94" s="47" t="s">
        <v>80</v>
      </c>
      <c r="C94" s="47"/>
      <c r="D94" s="48">
        <v>0</v>
      </c>
      <c r="E94" s="48">
        <v>0</v>
      </c>
      <c r="F94" s="48">
        <v>0</v>
      </c>
      <c r="G94" s="48">
        <v>0</v>
      </c>
      <c r="H94" s="48">
        <v>0</v>
      </c>
      <c r="I94" s="47" t="s">
        <v>126</v>
      </c>
      <c r="J94" s="49">
        <v>0</v>
      </c>
    </row>
    <row r="95" spans="1:10" s="5" customFormat="1" ht="16.2" thickBot="1" x14ac:dyDescent="0.35">
      <c r="A95" s="47">
        <v>16844</v>
      </c>
      <c r="B95" s="47" t="s">
        <v>81</v>
      </c>
      <c r="C95" s="47"/>
      <c r="D95" s="48">
        <v>0</v>
      </c>
      <c r="E95" s="48">
        <v>0</v>
      </c>
      <c r="F95" s="48">
        <v>10719840</v>
      </c>
      <c r="G95" s="48">
        <v>0</v>
      </c>
      <c r="H95" s="48">
        <v>0</v>
      </c>
      <c r="I95" s="47" t="s">
        <v>125</v>
      </c>
      <c r="J95" s="49">
        <v>0</v>
      </c>
    </row>
    <row r="96" spans="1:10" s="5" customFormat="1" ht="16.2" thickBot="1" x14ac:dyDescent="0.35">
      <c r="A96" s="47">
        <v>16340</v>
      </c>
      <c r="B96" s="47" t="s">
        <v>82</v>
      </c>
      <c r="C96" s="47"/>
      <c r="D96" s="48">
        <v>0</v>
      </c>
      <c r="E96" s="48">
        <v>0</v>
      </c>
      <c r="F96" s="48">
        <v>0</v>
      </c>
      <c r="G96" s="48">
        <v>0</v>
      </c>
      <c r="H96" s="48">
        <v>0</v>
      </c>
      <c r="I96" s="47" t="s">
        <v>126</v>
      </c>
      <c r="J96" s="49">
        <v>0</v>
      </c>
    </row>
    <row r="97" spans="1:10" s="5" customFormat="1" ht="16.2" thickBot="1" x14ac:dyDescent="0.35">
      <c r="A97" s="47">
        <v>16340</v>
      </c>
      <c r="B97" s="47" t="s">
        <v>85</v>
      </c>
      <c r="C97" s="47"/>
      <c r="D97" s="48">
        <v>558675</v>
      </c>
      <c r="E97" s="48">
        <v>0</v>
      </c>
      <c r="F97" s="48">
        <v>0</v>
      </c>
      <c r="G97" s="48">
        <v>0</v>
      </c>
      <c r="H97" s="48">
        <v>558675</v>
      </c>
      <c r="I97" s="47" t="s">
        <v>126</v>
      </c>
      <c r="J97" s="49">
        <f t="shared" ref="J97:J100" si="14">H97/D97*100%</f>
        <v>1</v>
      </c>
    </row>
    <row r="98" spans="1:10" s="5" customFormat="1" ht="16.2" thickBot="1" x14ac:dyDescent="0.35">
      <c r="A98" s="47">
        <v>16340</v>
      </c>
      <c r="B98" s="47" t="s">
        <v>86</v>
      </c>
      <c r="C98" s="47"/>
      <c r="D98" s="48">
        <v>0</v>
      </c>
      <c r="E98" s="48">
        <v>0</v>
      </c>
      <c r="F98" s="48">
        <v>0</v>
      </c>
      <c r="G98" s="48">
        <v>0</v>
      </c>
      <c r="H98" s="48">
        <v>0</v>
      </c>
      <c r="I98" s="47" t="s">
        <v>126</v>
      </c>
      <c r="J98" s="49">
        <v>0</v>
      </c>
    </row>
    <row r="99" spans="1:10" s="5" customFormat="1" ht="16.2" thickBot="1" x14ac:dyDescent="0.35">
      <c r="A99" s="47">
        <v>16340</v>
      </c>
      <c r="B99" s="47" t="s">
        <v>87</v>
      </c>
      <c r="C99" s="47"/>
      <c r="D99" s="48">
        <v>0</v>
      </c>
      <c r="E99" s="48">
        <v>0</v>
      </c>
      <c r="F99" s="48">
        <v>0</v>
      </c>
      <c r="G99" s="48">
        <v>0</v>
      </c>
      <c r="H99" s="48">
        <v>0</v>
      </c>
      <c r="I99" s="47" t="s">
        <v>126</v>
      </c>
      <c r="J99" s="49">
        <v>0</v>
      </c>
    </row>
    <row r="100" spans="1:10" s="5" customFormat="1" ht="16.2" thickBot="1" x14ac:dyDescent="0.35">
      <c r="A100" s="47">
        <v>16340</v>
      </c>
      <c r="B100" s="47" t="s">
        <v>79</v>
      </c>
      <c r="C100" s="58"/>
      <c r="D100" s="48">
        <v>408703.07</v>
      </c>
      <c r="E100" s="48">
        <v>0</v>
      </c>
      <c r="F100" s="48">
        <v>0</v>
      </c>
      <c r="G100" s="48">
        <v>0</v>
      </c>
      <c r="H100" s="48">
        <v>0</v>
      </c>
      <c r="I100" s="47" t="s">
        <v>124</v>
      </c>
      <c r="J100" s="49">
        <f t="shared" si="14"/>
        <v>0</v>
      </c>
    </row>
    <row r="101" spans="1:10" s="5" customFormat="1" ht="16.2" thickBot="1" x14ac:dyDescent="0.35">
      <c r="A101" s="6"/>
      <c r="B101" s="6"/>
      <c r="C101" s="6"/>
      <c r="D101" s="50">
        <f>SUM(D89:D100)</f>
        <v>2749323.9999999995</v>
      </c>
      <c r="E101" s="50">
        <f>SUM(E89:E100)</f>
        <v>0</v>
      </c>
      <c r="F101" s="50">
        <f>SUM(F89:F100)</f>
        <v>15679840</v>
      </c>
      <c r="G101" s="50">
        <f>SUM(G89:G100)</f>
        <v>0</v>
      </c>
      <c r="H101" s="50">
        <f>SUM(H89:H100)</f>
        <v>847421</v>
      </c>
      <c r="I101" s="51"/>
      <c r="J101" s="52"/>
    </row>
    <row r="102" spans="1:10" s="5" customFormat="1" ht="16.2" thickBot="1" x14ac:dyDescent="0.35">
      <c r="A102" s="6"/>
      <c r="B102" s="6"/>
      <c r="C102" s="6"/>
      <c r="D102" s="22"/>
      <c r="E102" s="22"/>
      <c r="F102" s="22"/>
      <c r="G102" s="22"/>
      <c r="H102" s="22"/>
      <c r="I102" s="18"/>
      <c r="J102" s="23"/>
    </row>
    <row r="103" spans="1:10" s="5" customFormat="1" ht="18.600000000000001" thickBot="1" x14ac:dyDescent="0.35">
      <c r="A103" s="57" t="s">
        <v>117</v>
      </c>
      <c r="B103" s="57" t="s">
        <v>123</v>
      </c>
      <c r="C103" s="57" t="s">
        <v>142</v>
      </c>
      <c r="D103" s="57"/>
      <c r="E103" s="57"/>
      <c r="F103" s="57"/>
      <c r="G103" s="57"/>
      <c r="H103" s="57"/>
      <c r="I103" s="57"/>
      <c r="J103" s="57"/>
    </row>
    <row r="104" spans="1:10" s="10" customFormat="1" ht="16.2" thickBot="1" x14ac:dyDescent="0.35">
      <c r="A104" s="32" t="s">
        <v>4</v>
      </c>
      <c r="B104" s="32" t="s">
        <v>5</v>
      </c>
      <c r="C104" s="32" t="s">
        <v>6</v>
      </c>
      <c r="D104" s="32" t="s">
        <v>7</v>
      </c>
      <c r="E104" s="32" t="s">
        <v>8</v>
      </c>
      <c r="F104" s="32"/>
      <c r="G104" s="32" t="s">
        <v>169</v>
      </c>
      <c r="H104" s="32" t="s">
        <v>9</v>
      </c>
      <c r="I104" s="32" t="s">
        <v>10</v>
      </c>
      <c r="J104" s="32" t="s">
        <v>11</v>
      </c>
    </row>
    <row r="105" spans="1:10" s="5" customFormat="1" ht="16.2" thickBot="1" x14ac:dyDescent="0.35">
      <c r="A105" s="47">
        <v>16844</v>
      </c>
      <c r="B105" s="47" t="s">
        <v>88</v>
      </c>
      <c r="C105" s="47"/>
      <c r="D105" s="48">
        <v>0</v>
      </c>
      <c r="E105" s="48">
        <v>0</v>
      </c>
      <c r="F105" s="48"/>
      <c r="G105" s="48">
        <v>0</v>
      </c>
      <c r="H105" s="48">
        <v>0</v>
      </c>
      <c r="I105" s="47" t="s">
        <v>127</v>
      </c>
      <c r="J105" s="49">
        <v>0</v>
      </c>
    </row>
    <row r="106" spans="1:10" s="5" customFormat="1" ht="16.2" thickBot="1" x14ac:dyDescent="0.35">
      <c r="A106" s="47">
        <v>16879</v>
      </c>
      <c r="B106" s="47" t="s">
        <v>88</v>
      </c>
      <c r="C106" s="47"/>
      <c r="D106" s="48">
        <v>0</v>
      </c>
      <c r="E106" s="48">
        <v>0</v>
      </c>
      <c r="F106" s="48"/>
      <c r="G106" s="48">
        <v>0</v>
      </c>
      <c r="H106" s="48">
        <v>0</v>
      </c>
      <c r="I106" s="47" t="s">
        <v>127</v>
      </c>
      <c r="J106" s="49">
        <v>0</v>
      </c>
    </row>
    <row r="107" spans="1:10" s="8" customFormat="1" ht="16.2" thickBot="1" x14ac:dyDescent="0.35">
      <c r="A107" s="7"/>
      <c r="B107" s="7"/>
      <c r="C107" s="7"/>
      <c r="D107" s="50">
        <f t="shared" ref="D107:H107" si="15">SUM(D105:D106)</f>
        <v>0</v>
      </c>
      <c r="E107" s="50">
        <f t="shared" si="15"/>
        <v>0</v>
      </c>
      <c r="F107" s="50"/>
      <c r="G107" s="50">
        <f t="shared" si="15"/>
        <v>0</v>
      </c>
      <c r="H107" s="50">
        <f t="shared" si="15"/>
        <v>0</v>
      </c>
      <c r="I107" s="50"/>
      <c r="J107" s="50"/>
    </row>
    <row r="108" spans="1:10" s="8" customFormat="1" ht="16.2" thickBot="1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24"/>
    </row>
    <row r="109" spans="1:10" ht="18.600000000000001" thickBot="1" x14ac:dyDescent="0.35">
      <c r="A109" s="46" t="s">
        <v>128</v>
      </c>
      <c r="B109" s="46" t="s">
        <v>130</v>
      </c>
      <c r="C109" s="46" t="s">
        <v>143</v>
      </c>
      <c r="D109" s="46" t="s">
        <v>129</v>
      </c>
      <c r="E109" s="46"/>
      <c r="F109" s="46"/>
      <c r="G109" s="46"/>
      <c r="H109" s="46"/>
      <c r="I109" s="46"/>
      <c r="J109" s="46"/>
    </row>
    <row r="110" spans="1:10" s="10" customFormat="1" ht="16.2" thickBot="1" x14ac:dyDescent="0.35">
      <c r="A110" s="32" t="s">
        <v>4</v>
      </c>
      <c r="B110" s="32" t="s">
        <v>5</v>
      </c>
      <c r="C110" s="32" t="s">
        <v>6</v>
      </c>
      <c r="D110" s="32" t="s">
        <v>7</v>
      </c>
      <c r="E110" s="32" t="s">
        <v>8</v>
      </c>
      <c r="F110" s="32" t="s">
        <v>200</v>
      </c>
      <c r="G110" s="32" t="s">
        <v>168</v>
      </c>
      <c r="H110" s="32" t="s">
        <v>9</v>
      </c>
      <c r="I110" s="32" t="s">
        <v>10</v>
      </c>
      <c r="J110" s="32" t="s">
        <v>11</v>
      </c>
    </row>
    <row r="111" spans="1:10" ht="16.2" thickBot="1" x14ac:dyDescent="0.35">
      <c r="A111" s="28">
        <v>16340</v>
      </c>
      <c r="B111" s="28" t="s">
        <v>12</v>
      </c>
      <c r="C111" s="28" t="s">
        <v>207</v>
      </c>
      <c r="D111" s="34">
        <v>406995.03</v>
      </c>
      <c r="E111" s="34">
        <v>81399.006000000008</v>
      </c>
      <c r="F111" s="34"/>
      <c r="G111" s="34">
        <v>0</v>
      </c>
      <c r="H111" s="34">
        <f>IF(F111="En Cubicacion",E111,E111+G111)</f>
        <v>81399.006000000008</v>
      </c>
      <c r="I111" s="28" t="s">
        <v>14</v>
      </c>
      <c r="J111" s="54">
        <f>H111/D111*100%</f>
        <v>0.2</v>
      </c>
    </row>
    <row r="112" spans="1:10" ht="16.2" thickBot="1" x14ac:dyDescent="0.35">
      <c r="A112" s="28">
        <v>16879</v>
      </c>
      <c r="B112" s="28" t="s">
        <v>25</v>
      </c>
      <c r="C112" s="28" t="s">
        <v>172</v>
      </c>
      <c r="D112" s="34">
        <v>2756148.26</v>
      </c>
      <c r="E112" s="34">
        <v>551229.652</v>
      </c>
      <c r="F112" s="34" t="s">
        <v>201</v>
      </c>
      <c r="G112" s="34">
        <v>655913.07999999996</v>
      </c>
      <c r="H112" s="34">
        <f t="shared" ref="H112:H113" si="16">IF(F112="En Cubicacion",E112,E112+G112)</f>
        <v>551229.652</v>
      </c>
      <c r="I112" s="28" t="s">
        <v>14</v>
      </c>
      <c r="J112" s="54">
        <f t="shared" ref="J112:J113" si="17">H112/D112*100%</f>
        <v>0.2</v>
      </c>
    </row>
    <row r="113" spans="1:11" ht="16.2" thickBot="1" x14ac:dyDescent="0.35">
      <c r="A113" s="28">
        <v>16879</v>
      </c>
      <c r="B113" s="28" t="s">
        <v>24</v>
      </c>
      <c r="C113" s="28" t="s">
        <v>206</v>
      </c>
      <c r="D113" s="34">
        <v>2826004.25</v>
      </c>
      <c r="E113" s="34">
        <v>565200.85</v>
      </c>
      <c r="F113" s="34"/>
      <c r="G113" s="34">
        <v>0</v>
      </c>
      <c r="H113" s="34">
        <f t="shared" si="16"/>
        <v>565200.85</v>
      </c>
      <c r="I113" s="28" t="s">
        <v>14</v>
      </c>
      <c r="J113" s="54">
        <f t="shared" si="17"/>
        <v>0.19999999999999998</v>
      </c>
    </row>
    <row r="114" spans="1:11" ht="16.2" thickBot="1" x14ac:dyDescent="0.35">
      <c r="A114" s="2"/>
      <c r="B114" s="2"/>
      <c r="C114" s="2"/>
      <c r="D114" s="50">
        <f>SUM(D111:D113)</f>
        <v>5989147.54</v>
      </c>
      <c r="E114" s="50">
        <f t="shared" ref="E114:H114" si="18">SUM(E111:E113)</f>
        <v>1197829.5079999999</v>
      </c>
      <c r="F114" s="50"/>
      <c r="G114" s="50">
        <f t="shared" si="18"/>
        <v>655913.07999999996</v>
      </c>
      <c r="H114" s="50">
        <f t="shared" si="18"/>
        <v>1197829.5079999999</v>
      </c>
      <c r="I114" s="50"/>
      <c r="J114" s="50"/>
    </row>
    <row r="115" spans="1:11" ht="16.2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9"/>
    </row>
    <row r="116" spans="1:11" ht="18.600000000000001" thickBot="1" x14ac:dyDescent="0.35">
      <c r="A116" s="46" t="s">
        <v>131</v>
      </c>
      <c r="B116" s="46" t="s">
        <v>132</v>
      </c>
      <c r="C116" s="46" t="s">
        <v>144</v>
      </c>
      <c r="D116" s="46"/>
      <c r="E116" s="46"/>
      <c r="F116" s="46"/>
      <c r="G116" s="46"/>
      <c r="H116" s="46"/>
      <c r="I116" s="46"/>
      <c r="J116" s="46"/>
    </row>
    <row r="117" spans="1:11" s="10" customFormat="1" ht="16.2" thickBot="1" x14ac:dyDescent="0.35">
      <c r="A117" s="32" t="s">
        <v>4</v>
      </c>
      <c r="B117" s="32" t="s">
        <v>5</v>
      </c>
      <c r="C117" s="32" t="s">
        <v>6</v>
      </c>
      <c r="D117" s="32" t="s">
        <v>7</v>
      </c>
      <c r="E117" s="32" t="s">
        <v>8</v>
      </c>
      <c r="F117" s="32" t="s">
        <v>200</v>
      </c>
      <c r="G117" s="32" t="s">
        <v>169</v>
      </c>
      <c r="H117" s="32" t="s">
        <v>9</v>
      </c>
      <c r="I117" s="32" t="s">
        <v>10</v>
      </c>
      <c r="J117" s="32" t="s">
        <v>11</v>
      </c>
    </row>
    <row r="118" spans="1:11" ht="16.2" thickBot="1" x14ac:dyDescent="0.35">
      <c r="A118" s="28">
        <v>16844</v>
      </c>
      <c r="B118" s="28" t="s">
        <v>52</v>
      </c>
      <c r="C118" s="28" t="s">
        <v>89</v>
      </c>
      <c r="D118" s="34">
        <v>5907633.6200000001</v>
      </c>
      <c r="E118" s="34">
        <v>0</v>
      </c>
      <c r="F118" s="34"/>
      <c r="G118" s="34"/>
      <c r="H118" s="34">
        <v>1194993.1299999999</v>
      </c>
      <c r="I118" s="28" t="s">
        <v>14</v>
      </c>
      <c r="J118" s="54">
        <v>0.4</v>
      </c>
    </row>
    <row r="119" spans="1:11" ht="16.2" thickBot="1" x14ac:dyDescent="0.35">
      <c r="A119" s="28">
        <v>16879</v>
      </c>
      <c r="B119" s="28" t="s">
        <v>25</v>
      </c>
      <c r="C119" s="28" t="s">
        <v>90</v>
      </c>
      <c r="D119" s="34">
        <v>3102360.26</v>
      </c>
      <c r="E119" s="34">
        <v>620472.05200000003</v>
      </c>
      <c r="F119" s="34" t="s">
        <v>201</v>
      </c>
      <c r="G119" s="34">
        <v>899768.92</v>
      </c>
      <c r="H119" s="34">
        <f>IF(F119="En Cubicacion",E119,E119+G119)</f>
        <v>620472.05200000003</v>
      </c>
      <c r="I119" s="28" t="s">
        <v>14</v>
      </c>
      <c r="J119" s="54">
        <f>H119/D119*100%</f>
        <v>0.2</v>
      </c>
      <c r="K119" s="80"/>
    </row>
    <row r="120" spans="1:11" ht="16.2" thickBot="1" x14ac:dyDescent="0.35">
      <c r="A120" s="2"/>
      <c r="B120" s="2"/>
      <c r="C120" s="2"/>
      <c r="D120" s="60">
        <f>SUM(D118:D119)</f>
        <v>9009993.879999999</v>
      </c>
      <c r="E120" s="60">
        <f t="shared" ref="E120:H120" si="19">SUM(E118:E119)</f>
        <v>620472.05200000003</v>
      </c>
      <c r="F120" s="60"/>
      <c r="G120" s="60">
        <f>SUM(G118:G119)</f>
        <v>899768.92</v>
      </c>
      <c r="H120" s="60">
        <f t="shared" si="19"/>
        <v>1815465.182</v>
      </c>
      <c r="I120" s="60">
        <f t="shared" ref="I120" si="20">SUM(I117:I119)</f>
        <v>0</v>
      </c>
      <c r="J120" s="60"/>
      <c r="K120" s="81"/>
    </row>
    <row r="121" spans="1:11" ht="16.2" thickBot="1" x14ac:dyDescent="0.35">
      <c r="A121" s="2"/>
      <c r="B121" s="2"/>
      <c r="C121" s="2"/>
      <c r="D121" s="22"/>
      <c r="E121" s="22"/>
      <c r="F121" s="22"/>
      <c r="G121" s="22"/>
      <c r="H121" s="22"/>
      <c r="I121" s="22"/>
      <c r="J121" s="22"/>
    </row>
    <row r="122" spans="1:11" ht="18.600000000000001" thickBot="1" x14ac:dyDescent="0.35">
      <c r="A122" s="46" t="s">
        <v>133</v>
      </c>
      <c r="B122" s="46" t="s">
        <v>134</v>
      </c>
      <c r="C122" s="46" t="s">
        <v>145</v>
      </c>
      <c r="D122" s="46" t="s">
        <v>135</v>
      </c>
      <c r="E122" s="46"/>
      <c r="F122" s="46"/>
      <c r="G122" s="46"/>
      <c r="H122" s="46"/>
      <c r="I122" s="46"/>
      <c r="J122" s="46"/>
    </row>
    <row r="123" spans="1:11" s="10" customFormat="1" ht="16.2" thickBot="1" x14ac:dyDescent="0.35">
      <c r="A123" s="32" t="s">
        <v>4</v>
      </c>
      <c r="B123" s="32" t="s">
        <v>5</v>
      </c>
      <c r="C123" s="32" t="s">
        <v>6</v>
      </c>
      <c r="D123" s="32" t="s">
        <v>7</v>
      </c>
      <c r="E123" s="32" t="s">
        <v>8</v>
      </c>
      <c r="F123" s="32" t="s">
        <v>200</v>
      </c>
      <c r="G123" s="32" t="s">
        <v>169</v>
      </c>
      <c r="H123" s="32" t="s">
        <v>9</v>
      </c>
      <c r="I123" s="32" t="s">
        <v>10</v>
      </c>
      <c r="J123" s="32" t="s">
        <v>11</v>
      </c>
    </row>
    <row r="124" spans="1:11" ht="16.2" thickBot="1" x14ac:dyDescent="0.35">
      <c r="A124" s="28">
        <v>16340</v>
      </c>
      <c r="B124" s="28" t="s">
        <v>12</v>
      </c>
      <c r="C124" s="28" t="s">
        <v>92</v>
      </c>
      <c r="D124" s="61">
        <v>249051.6</v>
      </c>
      <c r="E124" s="34">
        <v>49810.320000000007</v>
      </c>
      <c r="F124" s="34"/>
      <c r="G124" s="34">
        <v>0</v>
      </c>
      <c r="H124" s="34">
        <f>IF(F124="En Cubicacion",E124,E124+G124)</f>
        <v>49810.320000000007</v>
      </c>
      <c r="I124" s="28" t="s">
        <v>14</v>
      </c>
      <c r="J124" s="54">
        <f>H124/D124*100%</f>
        <v>0.2</v>
      </c>
    </row>
    <row r="125" spans="1:11" ht="16.2" thickBot="1" x14ac:dyDescent="0.35">
      <c r="A125" s="28">
        <v>16340</v>
      </c>
      <c r="B125" s="28" t="s">
        <v>12</v>
      </c>
      <c r="C125" s="28" t="s">
        <v>91</v>
      </c>
      <c r="D125" s="61">
        <v>194994.46</v>
      </c>
      <c r="E125" s="34">
        <v>38998.892</v>
      </c>
      <c r="F125" s="34"/>
      <c r="G125" s="34">
        <v>0</v>
      </c>
      <c r="H125" s="34">
        <f t="shared" ref="H125:H128" si="21">IF(F125="En Cubicacion",E125,E125+G125)</f>
        <v>38998.892</v>
      </c>
      <c r="I125" s="28" t="s">
        <v>14</v>
      </c>
      <c r="J125" s="54">
        <f t="shared" ref="J125:J128" si="22">H125/D125*100%</f>
        <v>0.2</v>
      </c>
    </row>
    <row r="126" spans="1:11" ht="16.2" thickBot="1" x14ac:dyDescent="0.35">
      <c r="A126" s="28">
        <v>16340</v>
      </c>
      <c r="B126" s="28" t="s">
        <v>12</v>
      </c>
      <c r="C126" s="28" t="s">
        <v>146</v>
      </c>
      <c r="D126" s="61">
        <v>295365.96000000002</v>
      </c>
      <c r="E126" s="34">
        <v>59073.19200000001</v>
      </c>
      <c r="F126" s="34"/>
      <c r="G126" s="34">
        <v>0</v>
      </c>
      <c r="H126" s="34">
        <f t="shared" si="21"/>
        <v>59073.19200000001</v>
      </c>
      <c r="I126" s="28" t="s">
        <v>14</v>
      </c>
      <c r="J126" s="54">
        <f t="shared" si="22"/>
        <v>0.2</v>
      </c>
    </row>
    <row r="127" spans="1:11" ht="16.2" thickBot="1" x14ac:dyDescent="0.35">
      <c r="A127" s="28">
        <v>16844</v>
      </c>
      <c r="B127" s="28" t="s">
        <v>52</v>
      </c>
      <c r="C127" s="28"/>
      <c r="D127" s="61">
        <v>7511830.6200000001</v>
      </c>
      <c r="E127" s="34">
        <v>0</v>
      </c>
      <c r="F127" s="34"/>
      <c r="G127" s="34">
        <v>0</v>
      </c>
      <c r="H127" s="34">
        <f t="shared" si="21"/>
        <v>0</v>
      </c>
      <c r="I127" s="28" t="s">
        <v>14</v>
      </c>
      <c r="J127" s="54">
        <f t="shared" si="22"/>
        <v>0</v>
      </c>
    </row>
    <row r="128" spans="1:11" ht="16.2" thickBot="1" x14ac:dyDescent="0.35">
      <c r="A128" s="28">
        <v>16879</v>
      </c>
      <c r="B128" s="28" t="s">
        <v>25</v>
      </c>
      <c r="C128" s="28" t="s">
        <v>93</v>
      </c>
      <c r="D128" s="61">
        <v>3102360.26</v>
      </c>
      <c r="E128" s="34">
        <v>620472.05200000003</v>
      </c>
      <c r="F128" s="34" t="s">
        <v>201</v>
      </c>
      <c r="G128" s="34">
        <v>186752.41</v>
      </c>
      <c r="H128" s="34">
        <f t="shared" si="21"/>
        <v>620472.05200000003</v>
      </c>
      <c r="I128" s="28" t="s">
        <v>14</v>
      </c>
      <c r="J128" s="54">
        <f t="shared" si="22"/>
        <v>0.2</v>
      </c>
    </row>
    <row r="129" spans="1:10" ht="16.2" thickBot="1" x14ac:dyDescent="0.35">
      <c r="A129" s="2"/>
      <c r="B129" s="2"/>
      <c r="C129" s="2"/>
      <c r="D129" s="60">
        <f t="shared" ref="D129:H129" si="23">SUM(D124:D128)</f>
        <v>11353602.9</v>
      </c>
      <c r="E129" s="60">
        <f t="shared" si="23"/>
        <v>768354.45600000001</v>
      </c>
      <c r="F129" s="60"/>
      <c r="G129" s="60">
        <f t="shared" si="23"/>
        <v>186752.41</v>
      </c>
      <c r="H129" s="60">
        <f t="shared" si="23"/>
        <v>768354.45600000001</v>
      </c>
      <c r="I129" s="60"/>
      <c r="J129" s="60"/>
    </row>
    <row r="130" spans="1:10" ht="16.2" thickBot="1" x14ac:dyDescent="0.35">
      <c r="A130" s="2"/>
      <c r="B130" s="2"/>
      <c r="C130" s="2"/>
      <c r="D130" s="16"/>
      <c r="E130" s="2"/>
      <c r="F130" s="2"/>
      <c r="G130" s="2"/>
      <c r="H130" s="2"/>
      <c r="I130" s="2"/>
      <c r="J130" s="9"/>
    </row>
    <row r="131" spans="1:10" ht="18.600000000000001" thickBot="1" x14ac:dyDescent="0.35">
      <c r="A131" s="46" t="s">
        <v>147</v>
      </c>
      <c r="B131" s="46" t="s">
        <v>148</v>
      </c>
      <c r="C131" s="46" t="s">
        <v>149</v>
      </c>
      <c r="D131" s="46" t="s">
        <v>150</v>
      </c>
      <c r="E131" s="46"/>
      <c r="F131" s="46"/>
      <c r="G131" s="46"/>
      <c r="H131" s="46"/>
      <c r="I131" s="46"/>
      <c r="J131" s="46"/>
    </row>
    <row r="132" spans="1:10" s="10" customFormat="1" ht="16.2" thickBot="1" x14ac:dyDescent="0.35">
      <c r="A132" s="32" t="s">
        <v>4</v>
      </c>
      <c r="B132" s="32" t="s">
        <v>5</v>
      </c>
      <c r="C132" s="32" t="s">
        <v>6</v>
      </c>
      <c r="D132" s="32" t="s">
        <v>7</v>
      </c>
      <c r="E132" s="32" t="s">
        <v>8</v>
      </c>
      <c r="F132" s="32" t="s">
        <v>200</v>
      </c>
      <c r="G132" s="32" t="s">
        <v>169</v>
      </c>
      <c r="H132" s="32" t="s">
        <v>9</v>
      </c>
      <c r="I132" s="32" t="s">
        <v>10</v>
      </c>
      <c r="J132" s="32" t="s">
        <v>11</v>
      </c>
    </row>
    <row r="133" spans="1:10" ht="16.2" thickBot="1" x14ac:dyDescent="0.35">
      <c r="A133" s="28">
        <v>16340</v>
      </c>
      <c r="B133" s="28" t="s">
        <v>12</v>
      </c>
      <c r="C133" s="28" t="s">
        <v>94</v>
      </c>
      <c r="D133" s="34">
        <v>1497413.99</v>
      </c>
      <c r="E133" s="34">
        <v>299482.79800000001</v>
      </c>
      <c r="F133" s="34"/>
      <c r="G133" s="34">
        <v>0</v>
      </c>
      <c r="H133" s="34">
        <f>IF(F133="En Cubicacion",E133,E133+G133)</f>
        <v>299482.79800000001</v>
      </c>
      <c r="I133" s="28" t="s">
        <v>14</v>
      </c>
      <c r="J133" s="54">
        <f>H133/D133*100%</f>
        <v>0.2</v>
      </c>
    </row>
    <row r="134" spans="1:10" ht="16.2" thickBot="1" x14ac:dyDescent="0.35">
      <c r="A134" s="28">
        <v>16340</v>
      </c>
      <c r="B134" s="28" t="s">
        <v>12</v>
      </c>
      <c r="C134" s="28" t="s">
        <v>95</v>
      </c>
      <c r="D134" s="34">
        <v>1022677.26</v>
      </c>
      <c r="E134" s="34">
        <v>204535.45200000002</v>
      </c>
      <c r="F134" s="34"/>
      <c r="G134" s="34">
        <v>0</v>
      </c>
      <c r="H134" s="34">
        <f t="shared" ref="H134:H141" si="24">IF(F134="En Cubicacion",E134,E134+G134)</f>
        <v>204535.45200000002</v>
      </c>
      <c r="I134" s="28" t="s">
        <v>14</v>
      </c>
      <c r="J134" s="54">
        <f t="shared" ref="J134:J141" si="25">H134/D134*100%</f>
        <v>0.2</v>
      </c>
    </row>
    <row r="135" spans="1:10" ht="16.2" thickBot="1" x14ac:dyDescent="0.35">
      <c r="A135" s="28">
        <v>16340</v>
      </c>
      <c r="B135" s="28" t="s">
        <v>12</v>
      </c>
      <c r="C135" s="28" t="s">
        <v>96</v>
      </c>
      <c r="D135" s="34">
        <v>1055057.5</v>
      </c>
      <c r="E135" s="34">
        <v>211011.5</v>
      </c>
      <c r="F135" s="34"/>
      <c r="G135" s="34">
        <v>0</v>
      </c>
      <c r="H135" s="34">
        <f t="shared" si="24"/>
        <v>211011.5</v>
      </c>
      <c r="I135" s="28" t="s">
        <v>14</v>
      </c>
      <c r="J135" s="54">
        <f t="shared" si="25"/>
        <v>0.2</v>
      </c>
    </row>
    <row r="136" spans="1:10" ht="16.2" thickBot="1" x14ac:dyDescent="0.35">
      <c r="A136" s="28">
        <v>16340</v>
      </c>
      <c r="B136" s="28" t="s">
        <v>12</v>
      </c>
      <c r="C136" s="28" t="s">
        <v>151</v>
      </c>
      <c r="D136" s="34">
        <v>855470.4</v>
      </c>
      <c r="E136" s="34">
        <v>171094.08000000002</v>
      </c>
      <c r="F136" s="34"/>
      <c r="G136" s="34">
        <v>0</v>
      </c>
      <c r="H136" s="34">
        <f t="shared" si="24"/>
        <v>171094.08000000002</v>
      </c>
      <c r="I136" s="28" t="s">
        <v>14</v>
      </c>
      <c r="J136" s="54">
        <f t="shared" si="25"/>
        <v>0.2</v>
      </c>
    </row>
    <row r="137" spans="1:10" ht="16.2" thickBot="1" x14ac:dyDescent="0.35">
      <c r="A137" s="28">
        <v>16879</v>
      </c>
      <c r="B137" s="28" t="s">
        <v>25</v>
      </c>
      <c r="C137" s="28" t="s">
        <v>97</v>
      </c>
      <c r="D137" s="34">
        <v>2820458.25</v>
      </c>
      <c r="E137" s="34">
        <v>564091.65</v>
      </c>
      <c r="F137" s="34"/>
      <c r="G137" s="34">
        <v>0</v>
      </c>
      <c r="H137" s="34">
        <v>1051588.08</v>
      </c>
      <c r="I137" s="28" t="s">
        <v>14</v>
      </c>
      <c r="J137" s="54">
        <f>H137/D137*100%</f>
        <v>0.37284298748261918</v>
      </c>
    </row>
    <row r="138" spans="1:10" ht="16.2" thickBot="1" x14ac:dyDescent="0.35">
      <c r="A138" s="28">
        <v>16879</v>
      </c>
      <c r="B138" s="28" t="s">
        <v>25</v>
      </c>
      <c r="C138" s="28" t="s">
        <v>98</v>
      </c>
      <c r="D138" s="34">
        <v>2860148.26</v>
      </c>
      <c r="E138" s="34">
        <v>572029.652</v>
      </c>
      <c r="F138" s="34"/>
      <c r="G138" s="34">
        <v>0</v>
      </c>
      <c r="H138" s="34">
        <f t="shared" si="24"/>
        <v>572029.652</v>
      </c>
      <c r="I138" s="28" t="s">
        <v>14</v>
      </c>
      <c r="J138" s="54">
        <f t="shared" si="25"/>
        <v>0.2</v>
      </c>
    </row>
    <row r="139" spans="1:10" ht="16.2" thickBot="1" x14ac:dyDescent="0.35">
      <c r="A139" s="28">
        <v>16879</v>
      </c>
      <c r="B139" s="28" t="s">
        <v>25</v>
      </c>
      <c r="C139" s="28" t="s">
        <v>151</v>
      </c>
      <c r="D139" s="34">
        <v>2980230.26</v>
      </c>
      <c r="E139" s="34">
        <v>596046.05200000003</v>
      </c>
      <c r="F139" s="34"/>
      <c r="G139" s="34">
        <v>0</v>
      </c>
      <c r="H139" s="34">
        <f t="shared" si="24"/>
        <v>596046.05200000003</v>
      </c>
      <c r="I139" s="28" t="s">
        <v>14</v>
      </c>
      <c r="J139" s="54">
        <f t="shared" si="25"/>
        <v>0.2</v>
      </c>
    </row>
    <row r="140" spans="1:10" ht="16.2" thickBot="1" x14ac:dyDescent="0.35">
      <c r="A140" s="28">
        <v>16879</v>
      </c>
      <c r="B140" s="28" t="s">
        <v>25</v>
      </c>
      <c r="C140" s="28" t="s">
        <v>99</v>
      </c>
      <c r="D140" s="34">
        <v>3102360.26</v>
      </c>
      <c r="E140" s="34">
        <v>620472.05200000003</v>
      </c>
      <c r="F140" s="34"/>
      <c r="G140" s="34">
        <v>0</v>
      </c>
      <c r="H140" s="34">
        <f t="shared" si="24"/>
        <v>620472.05200000003</v>
      </c>
      <c r="I140" s="28" t="s">
        <v>14</v>
      </c>
      <c r="J140" s="54">
        <f t="shared" si="25"/>
        <v>0.2</v>
      </c>
    </row>
    <row r="141" spans="1:10" ht="16.2" thickBot="1" x14ac:dyDescent="0.35">
      <c r="A141" s="28">
        <v>16879</v>
      </c>
      <c r="B141" s="28" t="s">
        <v>25</v>
      </c>
      <c r="C141" s="28" t="s">
        <v>94</v>
      </c>
      <c r="D141" s="34">
        <v>2820458.26</v>
      </c>
      <c r="E141" s="34">
        <v>564091.652</v>
      </c>
      <c r="F141" s="34"/>
      <c r="G141" s="34">
        <v>0</v>
      </c>
      <c r="H141" s="34">
        <f t="shared" si="24"/>
        <v>564091.652</v>
      </c>
      <c r="I141" s="28" t="s">
        <v>14</v>
      </c>
      <c r="J141" s="54">
        <f t="shared" si="25"/>
        <v>0.2</v>
      </c>
    </row>
    <row r="142" spans="1:10" ht="16.2" thickBot="1" x14ac:dyDescent="0.35">
      <c r="A142" s="2"/>
      <c r="B142" s="2"/>
      <c r="C142" s="2"/>
      <c r="D142" s="60">
        <f t="shared" ref="D142:H142" si="26">SUM(D133:D141)</f>
        <v>19014274.439999998</v>
      </c>
      <c r="E142" s="60">
        <f t="shared" si="26"/>
        <v>3802854.8880000003</v>
      </c>
      <c r="F142" s="60"/>
      <c r="G142" s="60">
        <f>SUM(G133:G141)</f>
        <v>0</v>
      </c>
      <c r="H142" s="60">
        <f t="shared" si="26"/>
        <v>4290351.318</v>
      </c>
      <c r="I142" s="60"/>
      <c r="J142" s="60"/>
    </row>
    <row r="143" spans="1:10" ht="16.2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9"/>
    </row>
    <row r="144" spans="1:10" ht="18.600000000000001" thickBot="1" x14ac:dyDescent="0.35">
      <c r="A144" s="46" t="s">
        <v>152</v>
      </c>
      <c r="B144" s="46" t="s">
        <v>153</v>
      </c>
      <c r="C144" s="46" t="s">
        <v>154</v>
      </c>
      <c r="D144" s="46" t="s">
        <v>155</v>
      </c>
      <c r="E144" s="46"/>
      <c r="F144" s="46"/>
      <c r="G144" s="46"/>
      <c r="H144" s="46"/>
      <c r="I144" s="46"/>
      <c r="J144" s="46"/>
    </row>
    <row r="145" spans="1:10" s="10" customFormat="1" ht="16.2" thickBot="1" x14ac:dyDescent="0.35">
      <c r="A145" s="32" t="s">
        <v>4</v>
      </c>
      <c r="B145" s="32" t="s">
        <v>5</v>
      </c>
      <c r="C145" s="32" t="s">
        <v>6</v>
      </c>
      <c r="D145" s="32" t="s">
        <v>7</v>
      </c>
      <c r="E145" s="32" t="s">
        <v>8</v>
      </c>
      <c r="F145" s="32" t="s">
        <v>200</v>
      </c>
      <c r="G145" s="32" t="s">
        <v>169</v>
      </c>
      <c r="H145" s="32" t="s">
        <v>9</v>
      </c>
      <c r="I145" s="32" t="s">
        <v>10</v>
      </c>
      <c r="J145" s="32" t="s">
        <v>11</v>
      </c>
    </row>
    <row r="146" spans="1:10" ht="16.2" thickBot="1" x14ac:dyDescent="0.35">
      <c r="A146" s="28">
        <v>16340</v>
      </c>
      <c r="B146" s="28" t="s">
        <v>12</v>
      </c>
      <c r="C146" s="28" t="s">
        <v>100</v>
      </c>
      <c r="D146" s="34">
        <v>452375.51</v>
      </c>
      <c r="E146" s="34">
        <v>90475.1</v>
      </c>
      <c r="F146" s="34"/>
      <c r="G146" s="34">
        <v>0</v>
      </c>
      <c r="H146" s="34">
        <v>90475.1</v>
      </c>
      <c r="I146" s="28" t="s">
        <v>14</v>
      </c>
      <c r="J146" s="54">
        <f>H146/D146*100%</f>
        <v>0.1999999955788942</v>
      </c>
    </row>
    <row r="147" spans="1:10" ht="16.2" thickBot="1" x14ac:dyDescent="0.35">
      <c r="A147" s="2"/>
      <c r="B147" s="2"/>
      <c r="C147" s="2"/>
      <c r="D147" s="60">
        <f t="shared" ref="D147:H147" si="27">SUM(D146)</f>
        <v>452375.51</v>
      </c>
      <c r="E147" s="60">
        <f t="shared" si="27"/>
        <v>90475.1</v>
      </c>
      <c r="F147" s="60"/>
      <c r="G147" s="60">
        <f t="shared" si="27"/>
        <v>0</v>
      </c>
      <c r="H147" s="60">
        <f t="shared" si="27"/>
        <v>90475.1</v>
      </c>
      <c r="I147" s="60"/>
      <c r="J147" s="60"/>
    </row>
    <row r="148" spans="1:10" ht="16.2" thickBot="1" x14ac:dyDescent="0.35">
      <c r="A148" s="2"/>
      <c r="B148" s="2"/>
      <c r="C148" s="2"/>
      <c r="D148" s="59"/>
      <c r="E148" s="59"/>
      <c r="F148" s="59"/>
      <c r="G148" s="59"/>
      <c r="H148" s="59"/>
      <c r="I148" s="2"/>
      <c r="J148" s="9"/>
    </row>
    <row r="149" spans="1:10" ht="18.600000000000001" thickBot="1" x14ac:dyDescent="0.35">
      <c r="A149" s="53" t="s">
        <v>205</v>
      </c>
      <c r="B149" s="53" t="s">
        <v>132</v>
      </c>
      <c r="C149" s="53" t="s">
        <v>156</v>
      </c>
      <c r="D149" s="53"/>
      <c r="E149" s="53"/>
      <c r="F149" s="53"/>
      <c r="G149" s="53"/>
      <c r="H149" s="53"/>
      <c r="I149" s="53"/>
      <c r="J149" s="53"/>
    </row>
    <row r="150" spans="1:10" s="10" customFormat="1" ht="16.2" thickBot="1" x14ac:dyDescent="0.35">
      <c r="A150" s="32" t="s">
        <v>4</v>
      </c>
      <c r="B150" s="32" t="s">
        <v>5</v>
      </c>
      <c r="C150" s="32" t="s">
        <v>6</v>
      </c>
      <c r="D150" s="32" t="s">
        <v>7</v>
      </c>
      <c r="E150" s="32" t="s">
        <v>8</v>
      </c>
      <c r="F150" s="32" t="s">
        <v>200</v>
      </c>
      <c r="G150" s="32" t="s">
        <v>169</v>
      </c>
      <c r="H150" s="32" t="s">
        <v>9</v>
      </c>
      <c r="I150" s="32" t="s">
        <v>10</v>
      </c>
      <c r="J150" s="32" t="s">
        <v>11</v>
      </c>
    </row>
    <row r="151" spans="1:10" ht="16.2" thickBot="1" x14ac:dyDescent="0.35">
      <c r="A151" s="28">
        <v>16879</v>
      </c>
      <c r="B151" s="28" t="s">
        <v>25</v>
      </c>
      <c r="C151" s="28" t="s">
        <v>101</v>
      </c>
      <c r="D151" s="34">
        <v>3077688.26</v>
      </c>
      <c r="E151" s="34">
        <v>615537.65</v>
      </c>
      <c r="F151" s="34" t="s">
        <v>201</v>
      </c>
      <c r="G151" s="34">
        <v>220565.49</v>
      </c>
      <c r="H151" s="34">
        <f t="shared" ref="H151" si="28">IF(F151="En Cubicacion",E151,E151+G151)</f>
        <v>615537.65</v>
      </c>
      <c r="I151" s="28" t="s">
        <v>14</v>
      </c>
      <c r="J151" s="54">
        <v>0.2</v>
      </c>
    </row>
    <row r="152" spans="1:10" ht="16.2" thickBot="1" x14ac:dyDescent="0.35">
      <c r="A152" s="2"/>
      <c r="B152" s="2"/>
      <c r="C152" s="2"/>
      <c r="D152" s="43">
        <f t="shared" ref="D152:H152" si="29">SUM(D151)</f>
        <v>3077688.26</v>
      </c>
      <c r="E152" s="43">
        <f t="shared" si="29"/>
        <v>615537.65</v>
      </c>
      <c r="F152" s="43"/>
      <c r="G152" s="43">
        <f>SUM(G151)</f>
        <v>220565.49</v>
      </c>
      <c r="H152" s="43">
        <f t="shared" si="29"/>
        <v>615537.65</v>
      </c>
      <c r="I152" s="60"/>
      <c r="J152" s="60"/>
    </row>
    <row r="153" spans="1:10" ht="16.2" thickBot="1" x14ac:dyDescent="0.35"/>
    <row r="154" spans="1:10" ht="18.600000000000001" thickBot="1" x14ac:dyDescent="0.35">
      <c r="A154" s="53" t="s">
        <v>159</v>
      </c>
      <c r="B154" s="53" t="s">
        <v>160</v>
      </c>
      <c r="C154" s="53" t="s">
        <v>161</v>
      </c>
      <c r="D154" s="53" t="s">
        <v>162</v>
      </c>
      <c r="E154" s="53"/>
      <c r="F154" s="53"/>
      <c r="G154" s="53"/>
      <c r="H154" s="53"/>
      <c r="I154" s="53"/>
      <c r="J154" s="53"/>
    </row>
    <row r="155" spans="1:10" ht="16.2" thickBot="1" x14ac:dyDescent="0.35">
      <c r="A155" s="32" t="s">
        <v>4</v>
      </c>
      <c r="B155" s="32" t="s">
        <v>5</v>
      </c>
      <c r="C155" s="32" t="s">
        <v>6</v>
      </c>
      <c r="D155" s="32" t="s">
        <v>7</v>
      </c>
      <c r="E155" s="32" t="s">
        <v>8</v>
      </c>
      <c r="F155" s="32" t="s">
        <v>200</v>
      </c>
      <c r="G155" s="32" t="s">
        <v>169</v>
      </c>
      <c r="H155" s="32" t="s">
        <v>9</v>
      </c>
      <c r="I155" s="32" t="s">
        <v>10</v>
      </c>
      <c r="J155" s="32" t="s">
        <v>11</v>
      </c>
    </row>
    <row r="156" spans="1:10" ht="16.2" thickBot="1" x14ac:dyDescent="0.35">
      <c r="A156" s="28">
        <v>16340</v>
      </c>
      <c r="B156" s="28" t="s">
        <v>12</v>
      </c>
      <c r="C156" s="28" t="s">
        <v>102</v>
      </c>
      <c r="D156" s="34">
        <v>924528.92</v>
      </c>
      <c r="E156" s="34">
        <v>184905.78400000001</v>
      </c>
      <c r="F156" s="34"/>
      <c r="G156" s="34"/>
      <c r="H156" s="34">
        <f t="shared" ref="H156:H165" si="30">IF(F156="En Cubicacion",E156,E156+G156)</f>
        <v>184905.78400000001</v>
      </c>
      <c r="I156" s="28" t="s">
        <v>14</v>
      </c>
      <c r="J156" s="54">
        <f>H156/D156*100%</f>
        <v>0.2</v>
      </c>
    </row>
    <row r="157" spans="1:10" ht="16.2" thickBot="1" x14ac:dyDescent="0.35">
      <c r="A157" s="28">
        <v>16340</v>
      </c>
      <c r="B157" s="28" t="s">
        <v>12</v>
      </c>
      <c r="C157" s="28" t="s">
        <v>103</v>
      </c>
      <c r="D157" s="34">
        <v>849850.88</v>
      </c>
      <c r="E157" s="34">
        <v>169970.17600000001</v>
      </c>
      <c r="F157" s="34"/>
      <c r="G157" s="34"/>
      <c r="H157" s="34">
        <f t="shared" si="30"/>
        <v>169970.17600000001</v>
      </c>
      <c r="I157" s="28" t="s">
        <v>14</v>
      </c>
      <c r="J157" s="54">
        <f t="shared" ref="J157:J165" si="31">H157/D157*100%</f>
        <v>0.2</v>
      </c>
    </row>
    <row r="158" spans="1:10" ht="16.2" thickBot="1" x14ac:dyDescent="0.35">
      <c r="A158" s="28">
        <v>16340</v>
      </c>
      <c r="B158" s="28" t="s">
        <v>12</v>
      </c>
      <c r="C158" s="28" t="s">
        <v>105</v>
      </c>
      <c r="D158" s="34">
        <v>667632.81000000006</v>
      </c>
      <c r="E158" s="34">
        <v>133526.56200000001</v>
      </c>
      <c r="F158" s="34"/>
      <c r="G158" s="34"/>
      <c r="H158" s="34">
        <f t="shared" si="30"/>
        <v>133526.56200000001</v>
      </c>
      <c r="I158" s="28" t="s">
        <v>14</v>
      </c>
      <c r="J158" s="54">
        <f t="shared" si="31"/>
        <v>0.19999999999999998</v>
      </c>
    </row>
    <row r="159" spans="1:10" ht="16.2" thickBot="1" x14ac:dyDescent="0.35">
      <c r="A159" s="28">
        <v>16340</v>
      </c>
      <c r="B159" s="28" t="s">
        <v>12</v>
      </c>
      <c r="C159" s="28" t="s">
        <v>104</v>
      </c>
      <c r="D159" s="34">
        <v>287159.2</v>
      </c>
      <c r="E159" s="34">
        <v>57431.840000000004</v>
      </c>
      <c r="F159" s="34" t="s">
        <v>201</v>
      </c>
      <c r="G159" s="34">
        <v>68518.09</v>
      </c>
      <c r="H159" s="34">
        <f t="shared" si="30"/>
        <v>57431.840000000004</v>
      </c>
      <c r="I159" s="28" t="s">
        <v>14</v>
      </c>
      <c r="J159" s="54">
        <f t="shared" si="31"/>
        <v>0.2</v>
      </c>
    </row>
    <row r="160" spans="1:10" ht="16.2" thickBot="1" x14ac:dyDescent="0.35">
      <c r="A160" s="28">
        <v>16340</v>
      </c>
      <c r="B160" s="28" t="s">
        <v>12</v>
      </c>
      <c r="C160" s="28" t="s">
        <v>157</v>
      </c>
      <c r="D160" s="34">
        <v>629687.72</v>
      </c>
      <c r="E160" s="34">
        <v>125937.54399999999</v>
      </c>
      <c r="F160" s="34" t="s">
        <v>201</v>
      </c>
      <c r="G160" s="34">
        <v>333576.61</v>
      </c>
      <c r="H160" s="34">
        <f t="shared" si="30"/>
        <v>125937.54399999999</v>
      </c>
      <c r="I160" s="28" t="s">
        <v>14</v>
      </c>
      <c r="J160" s="54">
        <f t="shared" si="31"/>
        <v>0.2</v>
      </c>
    </row>
    <row r="161" spans="1:10" ht="16.2" thickBot="1" x14ac:dyDescent="0.35">
      <c r="A161" s="28">
        <v>16340</v>
      </c>
      <c r="B161" s="28" t="s">
        <v>12</v>
      </c>
      <c r="C161" s="28" t="s">
        <v>158</v>
      </c>
      <c r="D161" s="34">
        <v>319546.39</v>
      </c>
      <c r="E161" s="34">
        <v>63909.278000000006</v>
      </c>
      <c r="F161" s="34"/>
      <c r="G161" s="34"/>
      <c r="H161" s="34">
        <f t="shared" si="30"/>
        <v>63909.278000000006</v>
      </c>
      <c r="I161" s="28" t="s">
        <v>14</v>
      </c>
      <c r="J161" s="54">
        <f t="shared" si="31"/>
        <v>0.2</v>
      </c>
    </row>
    <row r="162" spans="1:10" ht="16.2" thickBot="1" x14ac:dyDescent="0.35">
      <c r="A162" s="28">
        <v>16879</v>
      </c>
      <c r="B162" s="28" t="s">
        <v>25</v>
      </c>
      <c r="C162" s="28" t="s">
        <v>108</v>
      </c>
      <c r="D162" s="34">
        <v>3102360.26</v>
      </c>
      <c r="E162" s="34">
        <v>620472.05200000003</v>
      </c>
      <c r="F162" s="34"/>
      <c r="G162" s="34"/>
      <c r="H162" s="34">
        <f t="shared" si="30"/>
        <v>620472.05200000003</v>
      </c>
      <c r="I162" s="28" t="s">
        <v>14</v>
      </c>
      <c r="J162" s="54">
        <f t="shared" si="31"/>
        <v>0.2</v>
      </c>
    </row>
    <row r="163" spans="1:10" ht="16.2" thickBot="1" x14ac:dyDescent="0.35">
      <c r="A163" s="28">
        <v>16879</v>
      </c>
      <c r="B163" s="28" t="s">
        <v>25</v>
      </c>
      <c r="C163" s="28" t="s">
        <v>102</v>
      </c>
      <c r="D163" s="34">
        <v>2970398.26</v>
      </c>
      <c r="E163" s="34">
        <v>594079.652</v>
      </c>
      <c r="F163" s="34"/>
      <c r="G163" s="34"/>
      <c r="H163" s="34">
        <f t="shared" si="30"/>
        <v>594079.652</v>
      </c>
      <c r="I163" s="28" t="s">
        <v>14</v>
      </c>
      <c r="J163" s="54">
        <f t="shared" si="31"/>
        <v>0.2</v>
      </c>
    </row>
    <row r="164" spans="1:10" ht="16.2" thickBot="1" x14ac:dyDescent="0.35">
      <c r="A164" s="28">
        <v>16879</v>
      </c>
      <c r="B164" s="28" t="s">
        <v>25</v>
      </c>
      <c r="C164" s="28" t="s">
        <v>106</v>
      </c>
      <c r="D164" s="34">
        <v>2970398.26</v>
      </c>
      <c r="E164" s="34">
        <v>594079.652</v>
      </c>
      <c r="F164" s="34" t="s">
        <v>201</v>
      </c>
      <c r="G164" s="34">
        <v>216826.81</v>
      </c>
      <c r="H164" s="34">
        <f t="shared" si="30"/>
        <v>594079.652</v>
      </c>
      <c r="I164" s="28" t="s">
        <v>14</v>
      </c>
      <c r="J164" s="54">
        <f t="shared" si="31"/>
        <v>0.2</v>
      </c>
    </row>
    <row r="165" spans="1:10" ht="16.2" thickBot="1" x14ac:dyDescent="0.35">
      <c r="A165" s="28">
        <v>16879</v>
      </c>
      <c r="B165" s="28" t="s">
        <v>25</v>
      </c>
      <c r="C165" s="28" t="s">
        <v>107</v>
      </c>
      <c r="D165" s="34">
        <v>2970398.26</v>
      </c>
      <c r="E165" s="34">
        <v>594079.652</v>
      </c>
      <c r="F165" s="34" t="s">
        <v>201</v>
      </c>
      <c r="G165" s="34">
        <v>243877.28</v>
      </c>
      <c r="H165" s="34">
        <f t="shared" si="30"/>
        <v>594079.652</v>
      </c>
      <c r="I165" s="28" t="s">
        <v>14</v>
      </c>
      <c r="J165" s="54">
        <f t="shared" si="31"/>
        <v>0.2</v>
      </c>
    </row>
    <row r="166" spans="1:10" ht="16.2" thickBot="1" x14ac:dyDescent="0.35">
      <c r="D166" s="43">
        <f t="shared" ref="D166:H166" si="32">SUM(D156:D165)</f>
        <v>15691960.959999999</v>
      </c>
      <c r="E166" s="43">
        <f t="shared" si="32"/>
        <v>3138392.1919999998</v>
      </c>
      <c r="F166" s="43"/>
      <c r="G166" s="43">
        <f t="shared" si="32"/>
        <v>862798.79</v>
      </c>
      <c r="H166" s="43">
        <f t="shared" si="32"/>
        <v>3138392.1919999998</v>
      </c>
      <c r="I166" s="43"/>
      <c r="J166" s="43"/>
    </row>
    <row r="167" spans="1:10" x14ac:dyDescent="0.3">
      <c r="A167" s="19" t="s">
        <v>166</v>
      </c>
    </row>
    <row r="168" spans="1:10" x14ac:dyDescent="0.3">
      <c r="A168" s="19"/>
    </row>
    <row r="169" spans="1:10" x14ac:dyDescent="0.3">
      <c r="A169" s="19"/>
    </row>
    <row r="170" spans="1:10" ht="18.600000000000001" hidden="1" thickBot="1" x14ac:dyDescent="0.4">
      <c r="A170" s="82" t="s">
        <v>164</v>
      </c>
      <c r="B170" s="82"/>
    </row>
    <row r="171" spans="1:10" ht="16.2" hidden="1" thickBot="1" x14ac:dyDescent="0.35">
      <c r="A171" s="28" t="s">
        <v>163</v>
      </c>
      <c r="B171" s="34">
        <v>228492953.22718617</v>
      </c>
      <c r="C171" s="25"/>
    </row>
    <row r="172" spans="1:10" ht="16.2" hidden="1" thickBot="1" x14ac:dyDescent="0.35">
      <c r="A172" s="28" t="s">
        <v>171</v>
      </c>
      <c r="B172" s="34">
        <v>7384540.5728138397</v>
      </c>
      <c r="C172" s="25"/>
    </row>
    <row r="173" spans="1:10" ht="16.2" hidden="1" thickBot="1" x14ac:dyDescent="0.35">
      <c r="A173" s="28" t="s">
        <v>165</v>
      </c>
      <c r="B173" s="64">
        <f>SUM(B171:B172)</f>
        <v>235877493.80000001</v>
      </c>
      <c r="C173" s="25"/>
    </row>
    <row r="174" spans="1:10" ht="18.600000000000001" thickBot="1" x14ac:dyDescent="0.4">
      <c r="A174" s="85" t="s">
        <v>174</v>
      </c>
      <c r="B174" s="85"/>
      <c r="C174" s="83" t="s">
        <v>179</v>
      </c>
      <c r="D174" s="83"/>
      <c r="E174" s="83"/>
      <c r="F174" s="83"/>
      <c r="G174" s="83"/>
      <c r="H174" s="79"/>
    </row>
    <row r="175" spans="1:10" ht="47.4" thickBot="1" x14ac:dyDescent="0.35">
      <c r="A175" s="73" t="s">
        <v>188</v>
      </c>
      <c r="B175" s="73" t="s">
        <v>165</v>
      </c>
      <c r="C175" s="73" t="s">
        <v>184</v>
      </c>
      <c r="D175" s="73" t="s">
        <v>185</v>
      </c>
      <c r="E175" s="74" t="s">
        <v>186</v>
      </c>
      <c r="F175" s="74" t="s">
        <v>187</v>
      </c>
      <c r="G175" s="74" t="s">
        <v>170</v>
      </c>
    </row>
    <row r="176" spans="1:10" ht="18.600000000000001" thickBot="1" x14ac:dyDescent="0.35">
      <c r="A176" s="65" t="s">
        <v>189</v>
      </c>
      <c r="B176" s="75">
        <v>228492953.22718617</v>
      </c>
      <c r="C176" s="72">
        <v>182645686.24400014</v>
      </c>
      <c r="D176" s="72">
        <v>25863233.060000002</v>
      </c>
      <c r="E176" s="72">
        <v>14662806.860000003</v>
      </c>
      <c r="F176" s="72">
        <v>11200426.199999999</v>
      </c>
      <c r="G176" s="72">
        <v>20790026.43</v>
      </c>
    </row>
    <row r="177" spans="1:8" x14ac:dyDescent="0.3">
      <c r="A177" s="18"/>
      <c r="B177" s="71"/>
      <c r="C177" s="26"/>
      <c r="D177" s="25"/>
      <c r="E177" s="12"/>
      <c r="F177" s="12"/>
      <c r="G177" s="12"/>
      <c r="H177" s="12"/>
    </row>
    <row r="178" spans="1:8" ht="16.2" thickBot="1" x14ac:dyDescent="0.35">
      <c r="A178" s="69"/>
      <c r="B178" s="70"/>
      <c r="C178" s="26"/>
    </row>
    <row r="179" spans="1:8" ht="18.600000000000001" thickBot="1" x14ac:dyDescent="0.4">
      <c r="A179" s="82" t="s">
        <v>175</v>
      </c>
      <c r="B179" s="82"/>
      <c r="C179" s="82" t="s">
        <v>179</v>
      </c>
      <c r="D179" s="82"/>
      <c r="E179" s="63"/>
    </row>
    <row r="180" spans="1:8" ht="16.2" thickBot="1" x14ac:dyDescent="0.35">
      <c r="A180" s="66" t="s">
        <v>176</v>
      </c>
      <c r="B180" s="67">
        <v>32836951.199999999</v>
      </c>
      <c r="C180" s="68" t="s">
        <v>180</v>
      </c>
      <c r="D180" s="68" t="s">
        <v>181</v>
      </c>
      <c r="E180" s="68" t="s">
        <v>182</v>
      </c>
    </row>
    <row r="181" spans="1:8" ht="16.2" thickBot="1" x14ac:dyDescent="0.35">
      <c r="A181" s="28" t="s">
        <v>178</v>
      </c>
      <c r="B181" s="34">
        <v>15679840</v>
      </c>
      <c r="C181" s="34">
        <v>15679840</v>
      </c>
      <c r="D181" s="34">
        <v>0</v>
      </c>
      <c r="E181" s="34">
        <v>0</v>
      </c>
    </row>
    <row r="182" spans="1:8" ht="16.2" thickBot="1" x14ac:dyDescent="0.35">
      <c r="A182" s="28" t="s">
        <v>183</v>
      </c>
      <c r="B182" s="34">
        <v>8657110.1999999993</v>
      </c>
      <c r="C182" s="34">
        <v>0</v>
      </c>
      <c r="D182" s="34">
        <v>0</v>
      </c>
      <c r="E182" s="34">
        <v>0</v>
      </c>
    </row>
    <row r="183" spans="1:8" ht="16.2" thickBot="1" x14ac:dyDescent="0.35">
      <c r="A183" s="62" t="s">
        <v>177</v>
      </c>
      <c r="B183" s="34">
        <v>4000000</v>
      </c>
      <c r="C183" s="34">
        <v>1641325</v>
      </c>
      <c r="D183" s="34">
        <v>0</v>
      </c>
      <c r="E183" s="34">
        <v>558675</v>
      </c>
    </row>
    <row r="184" spans="1:8" ht="16.2" thickBot="1" x14ac:dyDescent="0.35">
      <c r="A184" s="62" t="s">
        <v>173</v>
      </c>
      <c r="B184" s="34">
        <v>4500000</v>
      </c>
      <c r="C184" s="34">
        <v>3283794</v>
      </c>
      <c r="D184" s="34">
        <v>0</v>
      </c>
      <c r="E184" s="34">
        <v>0</v>
      </c>
    </row>
    <row r="185" spans="1:8" ht="16.2" thickBot="1" x14ac:dyDescent="0.35">
      <c r="A185" s="62"/>
      <c r="B185" s="34"/>
    </row>
    <row r="186" spans="1:8" ht="18.600000000000001" thickBot="1" x14ac:dyDescent="0.4">
      <c r="A186" s="82" t="s">
        <v>190</v>
      </c>
      <c r="B186" s="82"/>
      <c r="C186" s="82" t="s">
        <v>179</v>
      </c>
      <c r="D186" s="82"/>
      <c r="E186" s="82"/>
    </row>
    <row r="187" spans="1:8" ht="31.8" thickBot="1" x14ac:dyDescent="0.35">
      <c r="A187" s="86" t="s">
        <v>191</v>
      </c>
      <c r="B187" s="87">
        <v>134684648.56</v>
      </c>
      <c r="C187" s="73" t="s">
        <v>180</v>
      </c>
      <c r="D187" s="74" t="s">
        <v>194</v>
      </c>
      <c r="E187" s="74" t="s">
        <v>195</v>
      </c>
    </row>
    <row r="188" spans="1:8" s="17" customFormat="1" ht="16.2" thickBot="1" x14ac:dyDescent="0.35">
      <c r="A188" s="88" t="s">
        <v>109</v>
      </c>
      <c r="B188" s="89">
        <v>42500000</v>
      </c>
      <c r="C188" s="89">
        <v>39000000</v>
      </c>
      <c r="D188" s="90">
        <v>46120</v>
      </c>
      <c r="E188" s="88"/>
    </row>
    <row r="189" spans="1:8" s="17" customFormat="1" ht="31.8" thickBot="1" x14ac:dyDescent="0.35">
      <c r="A189" s="91" t="s">
        <v>192</v>
      </c>
      <c r="B189" s="92">
        <v>55000000</v>
      </c>
      <c r="C189" s="92">
        <v>0</v>
      </c>
      <c r="D189" s="92"/>
      <c r="E189" s="91" t="s">
        <v>196</v>
      </c>
    </row>
    <row r="190" spans="1:8" s="17" customFormat="1" ht="16.2" thickBot="1" x14ac:dyDescent="0.35">
      <c r="A190" s="91" t="s">
        <v>193</v>
      </c>
      <c r="B190" s="92">
        <f>B187-B188-B189</f>
        <v>37184648.560000002</v>
      </c>
      <c r="C190" s="92">
        <v>0</v>
      </c>
      <c r="D190" s="91"/>
      <c r="E190" s="91"/>
    </row>
    <row r="191" spans="1:8" s="17" customFormat="1" ht="16.2" thickBot="1" x14ac:dyDescent="0.35">
      <c r="A191" s="91" t="s">
        <v>197</v>
      </c>
      <c r="B191" s="92">
        <v>100470000</v>
      </c>
      <c r="C191" s="92">
        <v>0</v>
      </c>
      <c r="D191" s="91"/>
      <c r="E191" s="91" t="s">
        <v>198</v>
      </c>
    </row>
    <row r="194" spans="1:2" x14ac:dyDescent="0.3">
      <c r="A194" s="19" t="s">
        <v>199</v>
      </c>
      <c r="B194" s="76">
        <f>B190+B191</f>
        <v>137654648.56</v>
      </c>
    </row>
  </sheetData>
  <mergeCells count="8">
    <mergeCell ref="A186:B186"/>
    <mergeCell ref="C186:E186"/>
    <mergeCell ref="C174:G174"/>
    <mergeCell ref="C179:D179"/>
    <mergeCell ref="A1:B1"/>
    <mergeCell ref="A170:B170"/>
    <mergeCell ref="A174:B174"/>
    <mergeCell ref="A179:B17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COMARKY REYES</dc:creator>
  <cp:lastModifiedBy>COMARKY REYES</cp:lastModifiedBy>
  <dcterms:created xsi:type="dcterms:W3CDTF">2026-06-22T17:53:05Z</dcterms:created>
  <dcterms:modified xsi:type="dcterms:W3CDTF">2026-07-01T15:51:02Z</dcterms:modified>
</cp:coreProperties>
</file>