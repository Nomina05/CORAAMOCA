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CORAAMOCA\"/>
    </mc:Choice>
  </mc:AlternateContent>
  <xr:revisionPtr revIDLastSave="0" documentId="13_ncr:1_{2FD7405E-02FE-4AC4-9D78-B25CA7A23184}" xr6:coauthVersionLast="47" xr6:coauthVersionMax="47" xr10:uidLastSave="{00000000-0000-0000-0000-000000000000}"/>
  <bookViews>
    <workbookView xWindow="-108" yWindow="-108" windowWidth="23256" windowHeight="12576" xr2:uid="{40985152-455C-4ECA-8C08-C5A378BF46CE}"/>
  </bookViews>
  <sheets>
    <sheet name="Hoja1" sheetId="1" r:id="rId1"/>
  </sheets>
  <definedNames>
    <definedName name="_xlnm._FilterDatabase" localSheetId="0" hidden="1">Hoja1!$A$1:$AK$121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I3" i="1" s="1"/>
  <c r="AH83" i="1"/>
  <c r="AI83" i="1" s="1"/>
  <c r="S111" i="1" l="1"/>
  <c r="W117" i="1"/>
  <c r="AH2" i="1"/>
  <c r="AI2" i="1" s="1"/>
  <c r="AK2" i="1" s="1"/>
  <c r="Q117" i="1"/>
  <c r="U121" i="1"/>
  <c r="U127" i="1" s="1"/>
  <c r="AH4" i="1"/>
  <c r="AI4" i="1" s="1"/>
  <c r="AK4" i="1" s="1"/>
  <c r="AH5" i="1"/>
  <c r="AI5" i="1" s="1"/>
  <c r="AK5" i="1" s="1"/>
  <c r="AH6" i="1"/>
  <c r="AI6" i="1" s="1"/>
  <c r="AK6" i="1" s="1"/>
  <c r="AH7" i="1"/>
  <c r="AI7" i="1" s="1"/>
  <c r="AK7" i="1" s="1"/>
  <c r="AH8" i="1"/>
  <c r="AI8" i="1" s="1"/>
  <c r="AK8" i="1" s="1"/>
  <c r="AH9" i="1"/>
  <c r="AI9" i="1" s="1"/>
  <c r="AK9" i="1" s="1"/>
  <c r="AH10" i="1"/>
  <c r="AI10" i="1" s="1"/>
  <c r="AK10" i="1" s="1"/>
  <c r="AH11" i="1"/>
  <c r="AI11" i="1" s="1"/>
  <c r="AK11" i="1" s="1"/>
  <c r="AH12" i="1"/>
  <c r="AI12" i="1" s="1"/>
  <c r="AK12" i="1" s="1"/>
  <c r="AH13" i="1"/>
  <c r="AI13" i="1" s="1"/>
  <c r="AK13" i="1" s="1"/>
  <c r="AH14" i="1"/>
  <c r="AI14" i="1" s="1"/>
  <c r="AK14" i="1" s="1"/>
  <c r="AH15" i="1"/>
  <c r="AI15" i="1" s="1"/>
  <c r="AK15" i="1" s="1"/>
  <c r="AH16" i="1"/>
  <c r="AI16" i="1" s="1"/>
  <c r="AK16" i="1" s="1"/>
  <c r="AH17" i="1"/>
  <c r="AI17" i="1" s="1"/>
  <c r="AK17" i="1" s="1"/>
  <c r="AH18" i="1"/>
  <c r="AI18" i="1" s="1"/>
  <c r="AK18" i="1" s="1"/>
  <c r="AH19" i="1"/>
  <c r="AI19" i="1" s="1"/>
  <c r="AK19" i="1" s="1"/>
  <c r="AH20" i="1"/>
  <c r="AI20" i="1" s="1"/>
  <c r="AK20" i="1" s="1"/>
  <c r="AH21" i="1"/>
  <c r="AI21" i="1" s="1"/>
  <c r="AK21" i="1" s="1"/>
  <c r="AH22" i="1"/>
  <c r="AI22" i="1" s="1"/>
  <c r="AK22" i="1" s="1"/>
  <c r="AH23" i="1"/>
  <c r="AI23" i="1" s="1"/>
  <c r="AK23" i="1" s="1"/>
  <c r="AH24" i="1"/>
  <c r="AI24" i="1" s="1"/>
  <c r="AK24" i="1" s="1"/>
  <c r="AH25" i="1"/>
  <c r="AI25" i="1" s="1"/>
  <c r="AK25" i="1" s="1"/>
  <c r="AH26" i="1"/>
  <c r="AI26" i="1" s="1"/>
  <c r="AK26" i="1" s="1"/>
  <c r="AH27" i="1"/>
  <c r="AI27" i="1" s="1"/>
  <c r="AK27" i="1" s="1"/>
  <c r="AH28" i="1"/>
  <c r="AI28" i="1" s="1"/>
  <c r="AK28" i="1" s="1"/>
  <c r="AH29" i="1"/>
  <c r="AI29" i="1" s="1"/>
  <c r="AK29" i="1" s="1"/>
  <c r="AH30" i="1"/>
  <c r="AI30" i="1" s="1"/>
  <c r="AK30" i="1" s="1"/>
  <c r="AH31" i="1"/>
  <c r="AI31" i="1" s="1"/>
  <c r="AK31" i="1" s="1"/>
  <c r="AH32" i="1"/>
  <c r="AI32" i="1" s="1"/>
  <c r="AK32" i="1" s="1"/>
  <c r="AH33" i="1"/>
  <c r="AI33" i="1" s="1"/>
  <c r="AK33" i="1" s="1"/>
  <c r="AH34" i="1"/>
  <c r="AI34" i="1" s="1"/>
  <c r="AK34" i="1" s="1"/>
  <c r="AH35" i="1"/>
  <c r="AI35" i="1" s="1"/>
  <c r="AK35" i="1" s="1"/>
  <c r="AH36" i="1"/>
  <c r="AI36" i="1" s="1"/>
  <c r="AK36" i="1" s="1"/>
  <c r="AH37" i="1"/>
  <c r="AI37" i="1" s="1"/>
  <c r="AK37" i="1" s="1"/>
  <c r="AH38" i="1"/>
  <c r="AI38" i="1" s="1"/>
  <c r="AK38" i="1" s="1"/>
  <c r="AH39" i="1"/>
  <c r="AI39" i="1" s="1"/>
  <c r="AK39" i="1" s="1"/>
  <c r="AH40" i="1"/>
  <c r="AI40" i="1" s="1"/>
  <c r="AK40" i="1" s="1"/>
  <c r="AH41" i="1"/>
  <c r="AI41" i="1" s="1"/>
  <c r="AK41" i="1" s="1"/>
  <c r="AH42" i="1"/>
  <c r="AI42" i="1" s="1"/>
  <c r="AK42" i="1" s="1"/>
  <c r="AH43" i="1"/>
  <c r="AI43" i="1" s="1"/>
  <c r="AK43" i="1" s="1"/>
  <c r="AH44" i="1"/>
  <c r="AI44" i="1" s="1"/>
  <c r="AK44" i="1" s="1"/>
  <c r="AH45" i="1"/>
  <c r="AI45" i="1" s="1"/>
  <c r="AK45" i="1" s="1"/>
  <c r="AH46" i="1"/>
  <c r="AI46" i="1" s="1"/>
  <c r="AK46" i="1" s="1"/>
  <c r="AH47" i="1"/>
  <c r="AI47" i="1" s="1"/>
  <c r="AK47" i="1" s="1"/>
  <c r="AH48" i="1"/>
  <c r="AH49" i="1"/>
  <c r="AH50" i="1"/>
  <c r="AH51" i="1"/>
  <c r="AI51" i="1" s="1"/>
  <c r="AK51" i="1" s="1"/>
  <c r="AH52" i="1"/>
  <c r="AI52" i="1" s="1"/>
  <c r="AK52" i="1" s="1"/>
  <c r="AH53" i="1"/>
  <c r="AI53" i="1" s="1"/>
  <c r="AK53" i="1" s="1"/>
  <c r="AH54" i="1"/>
  <c r="AI54" i="1" s="1"/>
  <c r="AK54" i="1" s="1"/>
  <c r="AH55" i="1"/>
  <c r="AI55" i="1" s="1"/>
  <c r="AK55" i="1" s="1"/>
  <c r="AH56" i="1"/>
  <c r="AI56" i="1" s="1"/>
  <c r="AK56" i="1" s="1"/>
  <c r="AH57" i="1"/>
  <c r="AI57" i="1" s="1"/>
  <c r="AK57" i="1" s="1"/>
  <c r="AH58" i="1"/>
  <c r="AI58" i="1" s="1"/>
  <c r="AK58" i="1" s="1"/>
  <c r="AH59" i="1"/>
  <c r="AI59" i="1" s="1"/>
  <c r="AK59" i="1" s="1"/>
  <c r="AH60" i="1"/>
  <c r="AI60" i="1" s="1"/>
  <c r="AK60" i="1" s="1"/>
  <c r="AH61" i="1"/>
  <c r="AI61" i="1" s="1"/>
  <c r="AK61" i="1" s="1"/>
  <c r="AH62" i="1"/>
  <c r="AI62" i="1" s="1"/>
  <c r="AK62" i="1" s="1"/>
  <c r="AH63" i="1"/>
  <c r="AI63" i="1" s="1"/>
  <c r="AK63" i="1" s="1"/>
  <c r="AH64" i="1"/>
  <c r="AI64" i="1" s="1"/>
  <c r="AK64" i="1" s="1"/>
  <c r="AH65" i="1"/>
  <c r="AI65" i="1" s="1"/>
  <c r="AK65" i="1" s="1"/>
  <c r="AH66" i="1"/>
  <c r="AI66" i="1" s="1"/>
  <c r="AK66" i="1" s="1"/>
  <c r="AH67" i="1"/>
  <c r="AI67" i="1" s="1"/>
  <c r="AK67" i="1" s="1"/>
  <c r="AH68" i="1"/>
  <c r="AI68" i="1" s="1"/>
  <c r="AK68" i="1" s="1"/>
  <c r="AH69" i="1"/>
  <c r="AI69" i="1" s="1"/>
  <c r="AK69" i="1" s="1"/>
  <c r="AH70" i="1"/>
  <c r="AI70" i="1" s="1"/>
  <c r="AK70" i="1" s="1"/>
  <c r="AH71" i="1"/>
  <c r="AI71" i="1" s="1"/>
  <c r="AK71" i="1" s="1"/>
  <c r="AH72" i="1"/>
  <c r="AI72" i="1" s="1"/>
  <c r="AK72" i="1" s="1"/>
  <c r="AH73" i="1"/>
  <c r="AI73" i="1" s="1"/>
  <c r="AK73" i="1" s="1"/>
  <c r="AH74" i="1"/>
  <c r="AH75" i="1"/>
  <c r="AH76" i="1"/>
  <c r="AH77" i="1"/>
  <c r="AH78" i="1"/>
  <c r="AH79" i="1"/>
  <c r="AH80" i="1"/>
  <c r="AH81" i="1"/>
  <c r="AH82" i="1"/>
  <c r="AH84" i="1"/>
  <c r="AH85" i="1"/>
  <c r="AH86" i="1"/>
  <c r="AH87" i="1"/>
  <c r="AH88" i="1"/>
  <c r="AH89" i="1"/>
  <c r="AH90" i="1"/>
  <c r="AH91" i="1"/>
  <c r="AH92" i="1"/>
  <c r="AH93" i="1"/>
  <c r="AI93" i="1" s="1"/>
  <c r="AH94" i="1"/>
  <c r="AI94" i="1" s="1"/>
  <c r="AH95" i="1"/>
  <c r="AI95" i="1" s="1"/>
  <c r="AH96" i="1"/>
  <c r="AI96" i="1" s="1"/>
  <c r="AH97" i="1"/>
  <c r="AI97" i="1" s="1"/>
  <c r="AH98" i="1"/>
  <c r="AI98" i="1" s="1"/>
  <c r="AH99" i="1"/>
  <c r="AI99" i="1" s="1"/>
  <c r="AH100" i="1"/>
  <c r="AI100" i="1" s="1"/>
  <c r="AH101" i="1"/>
  <c r="AI101" i="1" s="1"/>
  <c r="AH102" i="1"/>
  <c r="AI102" i="1" s="1"/>
  <c r="AH103" i="1"/>
  <c r="AI103" i="1" s="1"/>
  <c r="AH104" i="1"/>
  <c r="AI104" i="1" s="1"/>
  <c r="AH105" i="1"/>
  <c r="AI105" i="1" s="1"/>
  <c r="AH106" i="1"/>
  <c r="AI106" i="1" s="1"/>
  <c r="AH107" i="1"/>
  <c r="AI107" i="1" s="1"/>
  <c r="AH108" i="1"/>
  <c r="AI108" i="1" s="1"/>
  <c r="AH109" i="1"/>
  <c r="AI109" i="1" s="1"/>
  <c r="AH110" i="1"/>
  <c r="AI110" i="1" s="1"/>
  <c r="AK3" i="1" l="1"/>
  <c r="O111" i="1"/>
  <c r="M111" i="1"/>
  <c r="AI49" i="1"/>
  <c r="AK49" i="1" s="1"/>
  <c r="AI50" i="1"/>
  <c r="AK50" i="1" s="1"/>
  <c r="AI48" i="1"/>
  <c r="AK48" i="1" s="1"/>
  <c r="AI88" i="1"/>
  <c r="AI87" i="1"/>
  <c r="AI86" i="1"/>
  <c r="AI85" i="1"/>
  <c r="AI84" i="1"/>
  <c r="AI82" i="1"/>
  <c r="AI79" i="1"/>
  <c r="AI78" i="1"/>
  <c r="AI77" i="1"/>
  <c r="AI76" i="1"/>
  <c r="AI75" i="1"/>
  <c r="Q111" i="1"/>
  <c r="AI74" i="1" l="1"/>
  <c r="P111" i="1" l="1"/>
  <c r="AI92" i="1"/>
  <c r="AI91" i="1"/>
  <c r="AI90" i="1"/>
  <c r="AI89" i="1"/>
  <c r="AI81" i="1"/>
  <c r="U111" i="1"/>
  <c r="W111" i="1"/>
  <c r="Y111" i="1"/>
  <c r="AA111" i="1"/>
  <c r="AC111" i="1"/>
  <c r="AE111" i="1"/>
  <c r="AG111" i="1"/>
  <c r="AI80" i="1" l="1"/>
  <c r="AI111" i="1" s="1"/>
  <c r="R111" i="1"/>
  <c r="AH111" i="1" l="1"/>
</calcChain>
</file>

<file path=xl/sharedStrings.xml><?xml version="1.0" encoding="utf-8"?>
<sst xmlns="http://schemas.openxmlformats.org/spreadsheetml/2006/main" count="875" uniqueCount="202">
  <si>
    <t>Proceso de Compras</t>
  </si>
  <si>
    <t>Proveedor</t>
  </si>
  <si>
    <t>SNIP</t>
  </si>
  <si>
    <t>LOTE</t>
  </si>
  <si>
    <t>NO. LOTE</t>
  </si>
  <si>
    <t>Municipio</t>
  </si>
  <si>
    <t>Distrito</t>
  </si>
  <si>
    <t>Sector</t>
  </si>
  <si>
    <t>Total Cubicado</t>
  </si>
  <si>
    <t>CORAAMOCA-DAF-CM-2026-0024</t>
  </si>
  <si>
    <t>Moca</t>
  </si>
  <si>
    <t>Guauci</t>
  </si>
  <si>
    <t>Cuenta Presupuestaria</t>
  </si>
  <si>
    <t>2.2.2.1.01</t>
  </si>
  <si>
    <t>Publicidad y propaganda</t>
  </si>
  <si>
    <t>2.2.8.7.06</t>
  </si>
  <si>
    <t>Otros servicios técnicos profesionales</t>
  </si>
  <si>
    <t>2.3.9.9.05</t>
  </si>
  <si>
    <t>Productos y útiles diversos</t>
  </si>
  <si>
    <t>2.6.1.1.01</t>
  </si>
  <si>
    <t>Muebles, equipos de oficina y estantería</t>
  </si>
  <si>
    <t>2.6.1.3.01</t>
  </si>
  <si>
    <t>Equipos de tecnología de la información y comunicación</t>
  </si>
  <si>
    <t>2.6.4.1.01</t>
  </si>
  <si>
    <t>2.6.5.1.01</t>
  </si>
  <si>
    <t>Maquinaria y equipo agropecuario</t>
  </si>
  <si>
    <t>2.6.5.2.01</t>
  </si>
  <si>
    <t>Maquinaria y equipo industrial</t>
  </si>
  <si>
    <t>2.6.5.3.01</t>
  </si>
  <si>
    <t>2.6.5.4.02</t>
  </si>
  <si>
    <t>Equipos de climatización</t>
  </si>
  <si>
    <t>2.6.5.6.01</t>
  </si>
  <si>
    <t>Equipo de generación eléctrica y a fines</t>
  </si>
  <si>
    <t>2.6.5.7.01</t>
  </si>
  <si>
    <t>Máquinas-herramientas</t>
  </si>
  <si>
    <t>2.6.9.3.01</t>
  </si>
  <si>
    <t>Terrenos urbanos sin mejoras</t>
  </si>
  <si>
    <t>En Proceso</t>
  </si>
  <si>
    <t>En Proceso de pago</t>
  </si>
  <si>
    <t>Automóviles y camiones - Minivan</t>
  </si>
  <si>
    <t>Maquinaria y equipo de construcción - Retroexacavadora</t>
  </si>
  <si>
    <t>Sin Proveedor</t>
  </si>
  <si>
    <t>CORAAMOCA-DAF-CM-2026-0014</t>
  </si>
  <si>
    <t>CORAAMOCA-DAF-CM-2026-0022</t>
  </si>
  <si>
    <t>TECH PLUS OFFICES, S.R.L</t>
  </si>
  <si>
    <t>IMPROFICINAS, S.R.L</t>
  </si>
  <si>
    <t>FOREST LAXES, S.R.L</t>
  </si>
  <si>
    <t>CORAAMOCA-DAF-CM-2026-0018</t>
  </si>
  <si>
    <t>ACTUALIDADES VD, S.RL.</t>
  </si>
  <si>
    <t>Ampliación de Redes</t>
  </si>
  <si>
    <t>Gaspar Hernandez</t>
  </si>
  <si>
    <t>Veragua</t>
  </si>
  <si>
    <t>Los Polanco</t>
  </si>
  <si>
    <t>Entrada Los Guaos</t>
  </si>
  <si>
    <t>Entrada La Yuca</t>
  </si>
  <si>
    <t>San Lorenzo</t>
  </si>
  <si>
    <t>Villa Magante</t>
  </si>
  <si>
    <t>Entrada La Gallera</t>
  </si>
  <si>
    <t>Entrada Playa Rogelio</t>
  </si>
  <si>
    <t>Construcción de un pozo tubular #1</t>
  </si>
  <si>
    <t>Construcción de un pozo tubular #2</t>
  </si>
  <si>
    <t>Campo de Pozos</t>
  </si>
  <si>
    <t>Cayetano Germosen</t>
  </si>
  <si>
    <t>La Gallera - Guanábano</t>
  </si>
  <si>
    <t>Villa Progreso</t>
  </si>
  <si>
    <t>Sabana De Los Jiménez</t>
  </si>
  <si>
    <t xml:space="preserve">Calle Del Rio </t>
  </si>
  <si>
    <t>La Penda</t>
  </si>
  <si>
    <t>Barrio nuevo La Guama</t>
  </si>
  <si>
    <t>Cruce de La Guama</t>
  </si>
  <si>
    <t>Urbanización La Guama  (entrada del Play)</t>
  </si>
  <si>
    <t>Entrada la Iglesia - Hato Viejo</t>
  </si>
  <si>
    <t>Barrio Marien - Guanábano</t>
  </si>
  <si>
    <t>CONSTRUCTORA CAMILO PANTALEON (CCP), S.R.L</t>
  </si>
  <si>
    <t xml:space="preserve">Construcción de un pozo tubular </t>
  </si>
  <si>
    <t>Construcción de un pozo tubular</t>
  </si>
  <si>
    <t>Calle Del Rio</t>
  </si>
  <si>
    <t>Maguey</t>
  </si>
  <si>
    <t>INGENIERIA Y PERFORACIONES (INPER), S.R.L</t>
  </si>
  <si>
    <t>Ceiba de Madera (El Mango de Nena 1)</t>
  </si>
  <si>
    <t>Ceiba de Madera (El Mango de Nena 2)</t>
  </si>
  <si>
    <t>La Amapola - Entrada María Arroyo</t>
  </si>
  <si>
    <t>Entrada Arte de Jesús</t>
  </si>
  <si>
    <t>Entrada los  Chivos - San Víctor</t>
  </si>
  <si>
    <t>San Victor</t>
  </si>
  <si>
    <t>Entrada del  Club del los  Choferes</t>
  </si>
  <si>
    <t>Los Rieles Arriba</t>
  </si>
  <si>
    <t>B/La Lambada</t>
  </si>
  <si>
    <t>Centro Tecnológico</t>
  </si>
  <si>
    <t>Los Cocos Llenas</t>
  </si>
  <si>
    <t>Los Hernández - La Rosario</t>
  </si>
  <si>
    <t>Quebrada Honda - Lotificación Pilo Santana</t>
  </si>
  <si>
    <t xml:space="preserve">Quebrada Honda- Entrada de La Chicha </t>
  </si>
  <si>
    <t>Quebrada Honda -Entrada de la escuelita, C/Mora</t>
  </si>
  <si>
    <t>Villa Delia</t>
  </si>
  <si>
    <t>Entrada  Sixto García - La Soledad</t>
  </si>
  <si>
    <t>La Ermita B/Eduardo Brito</t>
  </si>
  <si>
    <t>El Corozo - Entrada Raulito</t>
  </si>
  <si>
    <t>El Jazmín - Cruce del Algarrobo</t>
  </si>
  <si>
    <t>Quebrada La Yagua - El Algarrobo</t>
  </si>
  <si>
    <t>Entrada de la Iglesia y los Cacos, B/Pulu- La Rosario</t>
  </si>
  <si>
    <t>Estancia Nueva - Los Reinoso</t>
  </si>
  <si>
    <t>El Fundo San Francisco abajo</t>
  </si>
  <si>
    <t>Quebrada Honda - Entrada de Willy</t>
  </si>
  <si>
    <t>La Ermita - Entrada Surtidora Santana</t>
  </si>
  <si>
    <t>Boca Férrea</t>
  </si>
  <si>
    <t>La Finca</t>
  </si>
  <si>
    <t>La Lomita</t>
  </si>
  <si>
    <t xml:space="preserve">Canta Rana </t>
  </si>
  <si>
    <t>Las Lagunas</t>
  </si>
  <si>
    <t>Boca Férrea - Entrada La Escuela</t>
  </si>
  <si>
    <t>Cruce La Lomita del Higüero (La Finca)</t>
  </si>
  <si>
    <t>La Finca - Entrada de la Escuela</t>
  </si>
  <si>
    <t>El aguacate</t>
  </si>
  <si>
    <t>Canca la Reina</t>
  </si>
  <si>
    <t>C/Josefa Rosario</t>
  </si>
  <si>
    <t>La Chicharra</t>
  </si>
  <si>
    <t>Juan Lopez</t>
  </si>
  <si>
    <t>Entrada Los Julines</t>
  </si>
  <si>
    <t>Entrada Centro Tecnológico</t>
  </si>
  <si>
    <t xml:space="preserve">Entrada  Los Pérez </t>
  </si>
  <si>
    <t>Los Camacho</t>
  </si>
  <si>
    <t>Monte La Jagua</t>
  </si>
  <si>
    <t>Entrada Don Juan</t>
  </si>
  <si>
    <t>Higuerito</t>
  </si>
  <si>
    <t>El Higuerito Arriba</t>
  </si>
  <si>
    <t>Jamao Al Norte</t>
  </si>
  <si>
    <t>Los Brazos</t>
  </si>
  <si>
    <t>Suministro e Instalación de Micro Medidores de Agua Potable en Residenciales e Industrias</t>
  </si>
  <si>
    <t>Avance de Obra</t>
  </si>
  <si>
    <t>Construcción de Centro de Servicio al Cliente</t>
  </si>
  <si>
    <t>CONSTRUCTORA CRUZ MUÑOZ</t>
  </si>
  <si>
    <t>B</t>
  </si>
  <si>
    <t>C</t>
  </si>
  <si>
    <t xml:space="preserve">Los Cocos </t>
  </si>
  <si>
    <t>Caño Dulce</t>
  </si>
  <si>
    <t>Entrada La Escuela</t>
  </si>
  <si>
    <t>Callejón de Sara</t>
  </si>
  <si>
    <t>La Españolita</t>
  </si>
  <si>
    <t>La Mina</t>
  </si>
  <si>
    <t>Campo de Pozos Veragua</t>
  </si>
  <si>
    <t xml:space="preserve">Entrada de Gen </t>
  </si>
  <si>
    <t>Villa Olímpica</t>
  </si>
  <si>
    <t>Villa Valentina</t>
  </si>
  <si>
    <t>Entrada el Correo</t>
  </si>
  <si>
    <t>Las Colinas La Antena</t>
  </si>
  <si>
    <t>Loma Al Medio (Entrada La Cigua)</t>
  </si>
  <si>
    <t>Entrada La Batata</t>
  </si>
  <si>
    <t xml:space="preserve">Pozo Las Colinas (La Antena) </t>
  </si>
  <si>
    <t>Entrada Malen</t>
  </si>
  <si>
    <t>Rincón de Genaro</t>
  </si>
  <si>
    <t>Pozo Tanque Entrada Los Mangos</t>
  </si>
  <si>
    <t>Vereda Al Medio</t>
  </si>
  <si>
    <t>CORAAMOCA-CCC-CP-2025-0002</t>
  </si>
  <si>
    <t>Adjudicado</t>
  </si>
  <si>
    <t>Año de realización de Proyecto</t>
  </si>
  <si>
    <t>CONSTRUCTORA GEODRIL S.R.L</t>
  </si>
  <si>
    <t>CORAAMOCA-DAF-CM-2026-0023</t>
  </si>
  <si>
    <t>Publicado</t>
  </si>
  <si>
    <t>Reconstrucción de Centro de Servicio y Construcción de Parqueos</t>
  </si>
  <si>
    <t>TOTAL PAGADO</t>
  </si>
  <si>
    <t>BENESTA CONSTRUCTORA, S.R.L</t>
  </si>
  <si>
    <t>Avance 20%</t>
  </si>
  <si>
    <t>En Ejecucion</t>
  </si>
  <si>
    <t>Registro de Contrato</t>
  </si>
  <si>
    <t>Pendiente Publicacion</t>
  </si>
  <si>
    <t>A</t>
  </si>
  <si>
    <t>CORAAMOCA-CCC-CP-2024-0003</t>
  </si>
  <si>
    <t>CORAAMOCA-CCC-CP-2025-0005</t>
  </si>
  <si>
    <t>CORAAMOCA-CCC-CP-2025-0006</t>
  </si>
  <si>
    <t>INGENIERO MELVIN GENAO Y ASOCIADOS S.R.L</t>
  </si>
  <si>
    <t>CORAAMOCA-CCC-CP-2024-0001</t>
  </si>
  <si>
    <t>Cacique  Abajo - La Antena</t>
  </si>
  <si>
    <t>En libramiento</t>
  </si>
  <si>
    <t>Diferencia</t>
  </si>
  <si>
    <t>En Cubicacion</t>
  </si>
  <si>
    <t>Pago</t>
  </si>
  <si>
    <t>Tipo</t>
  </si>
  <si>
    <t>Descripcion</t>
  </si>
  <si>
    <t>Cantidad de habitantes (Población)</t>
  </si>
  <si>
    <t>Monto Presupuestado</t>
  </si>
  <si>
    <t>Monto en Apropiacion</t>
  </si>
  <si>
    <t>Monto Adjudicado</t>
  </si>
  <si>
    <t>Estatus de Cubicaciones</t>
  </si>
  <si>
    <t>Activos Fijos</t>
  </si>
  <si>
    <t>Obras</t>
  </si>
  <si>
    <t>Mentros Lineales</t>
  </si>
  <si>
    <t>Pago de Activos Fijos</t>
  </si>
  <si>
    <t>Cubicacion 1</t>
  </si>
  <si>
    <t>Estatus de Cubicaciones2</t>
  </si>
  <si>
    <t>Estatus de Cubicaciones3</t>
  </si>
  <si>
    <t>Cubicacion 2</t>
  </si>
  <si>
    <t>Cubicacion 3</t>
  </si>
  <si>
    <t>Estatus de Cubicaciones4</t>
  </si>
  <si>
    <t>Cubicacion 4</t>
  </si>
  <si>
    <t>Estatus de Cubicaciones5</t>
  </si>
  <si>
    <t>Cubicacion 5</t>
  </si>
  <si>
    <t>Estatus de Cubicaciones6</t>
  </si>
  <si>
    <t>Cubicacion 6</t>
  </si>
  <si>
    <t>Estatus de Cubicaciones7</t>
  </si>
  <si>
    <t>Cubicacion 7</t>
  </si>
  <si>
    <t>Estatus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</si>
</sst>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43" fontId="3" fillId="0" borderId="0" xfId="1" applyFont="1" applyBorder="1" applyAlignment="1">
      <alignment horizontal="center" vertical="center"/>
    </xf>
    <xf numFmtId="43" fontId="3" fillId="0" borderId="0" xfId="1" applyFont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9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43" fontId="5" fillId="0" borderId="0" xfId="1" applyFont="1" applyBorder="1" applyAlignment="1">
      <alignment horizontal="right" vertical="top"/>
    </xf>
    <xf numFmtId="0" fontId="6" fillId="0" borderId="0" xfId="0" applyFont="1" applyAlignment="1">
      <alignment horizontal="left" vertical="center"/>
    </xf>
    <xf numFmtId="9" fontId="3" fillId="0" borderId="0" xfId="0" applyNumberFormat="1" applyFont="1"/>
    <xf numFmtId="0" fontId="2" fillId="2" borderId="0" xfId="0" applyFont="1" applyFill="1"/>
    <xf numFmtId="43" fontId="2" fillId="2" borderId="0" xfId="1" applyFont="1" applyFill="1"/>
    <xf numFmtId="43" fontId="3" fillId="0" borderId="0" xfId="0" applyNumberFormat="1" applyFont="1"/>
    <xf numFmtId="43" fontId="3" fillId="0" borderId="0" xfId="1" applyFont="1"/>
    <xf numFmtId="0" fontId="7" fillId="0" borderId="0" xfId="0" applyFont="1"/>
    <xf numFmtId="43" fontId="7" fillId="0" borderId="0" xfId="1" applyFont="1" applyBorder="1"/>
    <xf numFmtId="44" fontId="2" fillId="0" borderId="0" xfId="3" applyFont="1"/>
    <xf numFmtId="43" fontId="2" fillId="0" borderId="0" xfId="0" applyNumberFormat="1" applyFont="1"/>
    <xf numFmtId="9" fontId="8" fillId="3" borderId="0" xfId="0" applyNumberFormat="1" applyFont="1" applyFill="1" applyAlignment="1">
      <alignment horizontal="center" vertical="center"/>
    </xf>
    <xf numFmtId="43" fontId="3" fillId="0" borderId="1" xfId="1" applyFont="1" applyBorder="1"/>
    <xf numFmtId="43" fontId="2" fillId="0" borderId="0" xfId="1" applyFont="1"/>
    <xf numFmtId="9" fontId="3" fillId="0" borderId="0" xfId="2" applyFont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40747-B36D-4C61-BFE5-11192C47AD58}" name="Tabla1" displayName="Tabla1" ref="A1:AK110" totalsRowShown="0" headerRowDxfId="38" dataDxfId="37">
  <autoFilter ref="A1:AK110" xr:uid="{5AD40747-B36D-4C61-BFE5-11192C47AD58}"/>
  <sortState xmlns:xlrd2="http://schemas.microsoft.com/office/spreadsheetml/2017/richdata2" ref="A2:AK110">
    <sortCondition ref="D1:D110"/>
  </sortState>
  <tableColumns count="37">
    <tableColumn id="1" xr3:uid="{9905513A-53DA-42C6-A010-F106CD0C8799}" name="Cuenta Presupuestaria" dataDxfId="36"/>
    <tableColumn id="2" xr3:uid="{BEBF83FC-26EB-4DCC-9C35-FC1D167C79C7}" name="Proceso de Compras" dataDxfId="35"/>
    <tableColumn id="3" xr3:uid="{4D778228-5D82-44C8-B817-F9C9C20518BE}" name="Año de realización de Proyecto" dataDxfId="34"/>
    <tableColumn id="4" xr3:uid="{CD0ECA32-9276-451C-8224-CFE29B3C749A}" name="Proveedor" dataDxfId="33"/>
    <tableColumn id="5" xr3:uid="{2F6A43A8-393C-4151-88AC-44B9FF940B37}" name="SNIP" dataDxfId="32"/>
    <tableColumn id="6" xr3:uid="{E599DD90-17C2-4AA5-BB66-4D051457B4E8}" name="LOTE" dataDxfId="31"/>
    <tableColumn id="7" xr3:uid="{E20189C3-3B1A-46E8-898F-A20AD0A7A3E6}" name="NO. LOTE" dataDxfId="30"/>
    <tableColumn id="15" xr3:uid="{EAFBCF22-C7B3-412C-9D3C-2C3CAB9C5912}" name="Tipo" dataDxfId="1"/>
    <tableColumn id="8" xr3:uid="{F9F78CCC-9E58-4821-9B51-F057AEEA5BD0}" name="Descripcion" dataDxfId="29"/>
    <tableColumn id="9" xr3:uid="{0AD9F2BC-393B-4348-9FF8-60AB1548803B}" name="Municipio" dataDxfId="28"/>
    <tableColumn id="10" xr3:uid="{6635A054-6E88-46ED-A674-1E6C872A3690}" name="Distrito" dataDxfId="27"/>
    <tableColumn id="11" xr3:uid="{C4C5FE91-984C-4BB6-9372-943E8174C527}" name="Sector" dataDxfId="26"/>
    <tableColumn id="12" xr3:uid="{7A3AE383-3015-448E-BD21-B3014A9D2FD6}" name="Cantidad de habitantes (Población)" dataDxfId="25"/>
    <tableColumn id="25" xr3:uid="{F15B5DCE-44C3-44FD-9CBC-CD3B254B40DE}" name="Mentros Lineales" dataDxfId="0"/>
    <tableColumn id="13" xr3:uid="{4BCCA6F8-662C-4A5A-8917-434732F9B1B8}" name="Monto Presupuestado" dataDxfId="24" dataCellStyle="Millares"/>
    <tableColumn id="33" xr3:uid="{5A0C16E5-4A84-4166-8F8F-C9A92916FEF8}" name="Monto en Apropiacion" dataDxfId="23" dataCellStyle="Millares"/>
    <tableColumn id="14" xr3:uid="{3B0693D9-41B6-483A-B35E-6EBF16F9D990}" name="Monto Adjudicado" dataDxfId="22" dataCellStyle="Millares"/>
    <tableColumn id="16" xr3:uid="{EAEDB394-A18C-4B30-B69C-40C4EA91717B}" name="Avance 20%" dataDxfId="21" dataCellStyle="Millares"/>
    <tableColumn id="17" xr3:uid="{E1D7347A-E6FF-42F6-82B1-E1166C3A8058}" name="Pago de Activos Fijos" dataDxfId="2" dataCellStyle="Millares"/>
    <tableColumn id="34" xr3:uid="{8D48081D-378C-423C-8BB2-049C2F95B81C}" name="Estatus de Cubicaciones" dataDxfId="20" dataCellStyle="Millares"/>
    <tableColumn id="18" xr3:uid="{F2E7128C-7DB2-4952-AB7D-F3AA52726A3D}" name="Cubicacion 1" dataDxfId="19" dataCellStyle="Millares"/>
    <tableColumn id="35" xr3:uid="{395857FC-7FB7-4AB1-9E9A-141BFC5E8BDE}" name="Estatus de Cubicaciones2" dataDxfId="18" dataCellStyle="Millares"/>
    <tableColumn id="19" xr3:uid="{E3C2D7E7-4D7C-43F7-A40B-9A2625047495}" name="Cubicacion 2" dataDxfId="17" dataCellStyle="Millares"/>
    <tableColumn id="36" xr3:uid="{F4A34798-54F2-45FB-9AE1-54236589927B}" name="Estatus de Cubicaciones3" dataDxfId="16" dataCellStyle="Millares"/>
    <tableColumn id="20" xr3:uid="{F1F53045-E812-428F-9952-6E73248B14FE}" name="Cubicacion 3" dataDxfId="15" dataCellStyle="Millares"/>
    <tableColumn id="37" xr3:uid="{AABF9271-5929-4FDF-BC8A-4A5432CE0B8C}" name="Estatus de Cubicaciones4" dataDxfId="14" dataCellStyle="Millares"/>
    <tableColumn id="21" xr3:uid="{537C1385-49A2-494A-BBB7-5AD3B58C02FB}" name="Cubicacion 4" dataDxfId="13" dataCellStyle="Millares"/>
    <tableColumn id="38" xr3:uid="{5DB96E45-AC68-45E0-AC55-2CB0064B12C0}" name="Estatus de Cubicaciones5" dataDxfId="12" dataCellStyle="Millares"/>
    <tableColumn id="22" xr3:uid="{B09F3592-D297-4EF0-862D-C809353A66DC}" name="Cubicacion 5" dataDxfId="11" dataCellStyle="Millares"/>
    <tableColumn id="39" xr3:uid="{48C3FDE3-8A24-4985-B9C4-0E9994702135}" name="Estatus de Cubicaciones6" dataDxfId="10" dataCellStyle="Millares"/>
    <tableColumn id="23" xr3:uid="{000810CF-7A95-43D1-85EE-999588A2D6C8}" name="Cubicacion 6" dataDxfId="9" dataCellStyle="Millares"/>
    <tableColumn id="40" xr3:uid="{BFFFDE2B-C498-4195-84D1-0B17197D3DDC}" name="Estatus de Cubicaciones7" dataDxfId="8" dataCellStyle="Millares"/>
    <tableColumn id="24" xr3:uid="{495C7B9E-CD83-4FDE-93F0-CCC2EAF1546D}" name="Cubicacion 7" dataDxfId="7" dataCellStyle="Millares"/>
    <tableColumn id="26" xr3:uid="{CA12FE25-AB89-4E1F-AF0A-A138C45ECA81}" name="Total Cubicado" dataDxfId="6" dataCellStyle="Millares">
      <calculatedColumnFormula>Tabla1[[#This Row],[Cubicacion 1]]+Tabla1[[#This Row],[Cubicacion 2]]+Tabla1[[#This Row],[Cubicacion 3]]+Tabla1[[#This Row],[Cubicacion 4]]+Tabla1[[#This Row],[Cubicacion 5]]+Tabla1[[#This Row],[Cubicacion 6]]+Tabla1[[#This Row],[Cubicacion 7]]</calculatedColumnFormula>
    </tableColumn>
    <tableColumn id="27" xr3:uid="{F53415F8-32F6-471F-B8FE-0669DD1DADE8}" name="TOTAL PAGADO" dataDxfId="5" dataCellStyle="Millares">
      <calculatedColumnFormula>Tabla1[[#This Row],[Avance 20%]]+Tabla1[[#This Row],[Pago de Activos Fijos]]+Tabla1[[#This Row],[Total Cubicado]]</calculatedColumnFormula>
    </tableColumn>
    <tableColumn id="30" xr3:uid="{ADBF85EF-FF52-401B-9BA7-0B95D2059BD2}" name="Estatus de Obras" dataDxfId="4"/>
    <tableColumn id="31" xr3:uid="{D8D9BEBC-1515-4044-97F3-54B9005E1E3B}" name="Avance de Obra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6BB4-0D6E-44EF-B31A-EE00EBB5A024}">
  <dimension ref="A1:AK127"/>
  <sheetViews>
    <sheetView tabSelected="1" zoomScaleNormal="100" workbookViewId="0">
      <pane xSplit="1" ySplit="1" topLeftCell="P107" activePane="bottomRight" state="frozen"/>
      <selection pane="topRight" activeCell="B1" sqref="B1"/>
      <selection pane="bottomLeft" activeCell="A2" sqref="A2"/>
      <selection pane="bottomRight" activeCell="Q121" sqref="Q121"/>
    </sheetView>
  </sheetViews>
  <sheetFormatPr baseColWidth="10" defaultRowHeight="15.6" x14ac:dyDescent="0.3"/>
  <cols>
    <col min="1" max="1" width="26.88671875" style="7" bestFit="1" customWidth="1"/>
    <col min="2" max="2" width="32.21875" style="7" customWidth="1"/>
    <col min="3" max="3" width="34.6640625" style="7" bestFit="1" customWidth="1"/>
    <col min="4" max="4" width="48.109375" style="7" bestFit="1" customWidth="1"/>
    <col min="5" max="5" width="9.6640625" style="7" bestFit="1" customWidth="1"/>
    <col min="6" max="6" width="10.109375" style="7" bestFit="1" customWidth="1"/>
    <col min="7" max="7" width="14.21875" style="7" bestFit="1" customWidth="1"/>
    <col min="8" max="8" width="12.44140625" style="7" bestFit="1" customWidth="1"/>
    <col min="9" max="9" width="87.44140625" style="7" bestFit="1" customWidth="1"/>
    <col min="10" max="10" width="20" style="7" bestFit="1" customWidth="1"/>
    <col min="11" max="11" width="15.44140625" style="7" bestFit="1" customWidth="1"/>
    <col min="12" max="12" width="49.33203125" style="7" bestFit="1" customWidth="1"/>
    <col min="13" max="13" width="38.88671875" style="7" bestFit="1" customWidth="1"/>
    <col min="14" max="14" width="21.44140625" style="7" bestFit="1" customWidth="1"/>
    <col min="15" max="15" width="26.5546875" style="7" bestFit="1" customWidth="1"/>
    <col min="16" max="16" width="26.77734375" style="7" bestFit="1" customWidth="1"/>
    <col min="17" max="17" width="23" style="7" bestFit="1" customWidth="1"/>
    <col min="18" max="18" width="16.5546875" style="7" bestFit="1" customWidth="1"/>
    <col min="19" max="19" width="25" style="7" bestFit="1" customWidth="1"/>
    <col min="20" max="20" width="28" style="7" bestFit="1" customWidth="1"/>
    <col min="21" max="21" width="17.21875" style="7" bestFit="1" customWidth="1"/>
    <col min="22" max="22" width="29.109375" style="7" bestFit="1" customWidth="1"/>
    <col min="23" max="23" width="17.21875" style="7" bestFit="1" customWidth="1"/>
    <col min="24" max="24" width="29.109375" style="7" bestFit="1" customWidth="1"/>
    <col min="25" max="25" width="17.21875" style="7" bestFit="1" customWidth="1"/>
    <col min="26" max="26" width="29.109375" style="7" bestFit="1" customWidth="1"/>
    <col min="27" max="27" width="17.21875" style="7" bestFit="1" customWidth="1"/>
    <col min="28" max="28" width="30.21875" style="7" bestFit="1" customWidth="1"/>
    <col min="29" max="29" width="19.6640625" style="7" bestFit="1" customWidth="1"/>
    <col min="30" max="30" width="30.21875" style="7" bestFit="1" customWidth="1"/>
    <col min="31" max="31" width="19.6640625" style="7" bestFit="1" customWidth="1"/>
    <col min="32" max="32" width="30.21875" style="7" bestFit="1" customWidth="1"/>
    <col min="33" max="33" width="20.77734375" style="7" bestFit="1" customWidth="1"/>
    <col min="34" max="34" width="20.6640625" style="7" bestFit="1" customWidth="1"/>
    <col min="35" max="35" width="21.5546875" style="7" bestFit="1" customWidth="1"/>
    <col min="36" max="36" width="21.77734375" style="7" bestFit="1" customWidth="1"/>
    <col min="37" max="37" width="21.44140625" style="7" bestFit="1" customWidth="1"/>
    <col min="38" max="16384" width="11.5546875" style="7"/>
  </cols>
  <sheetData>
    <row r="1" spans="1:37" x14ac:dyDescent="0.3">
      <c r="A1" s="3" t="s">
        <v>12</v>
      </c>
      <c r="B1" s="3" t="s">
        <v>0</v>
      </c>
      <c r="C1" s="4" t="s">
        <v>155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177</v>
      </c>
      <c r="I1" s="5" t="s">
        <v>178</v>
      </c>
      <c r="J1" s="5" t="s">
        <v>5</v>
      </c>
      <c r="K1" s="5" t="s">
        <v>6</v>
      </c>
      <c r="L1" s="5" t="s">
        <v>7</v>
      </c>
      <c r="M1" s="3" t="s">
        <v>179</v>
      </c>
      <c r="N1" s="3" t="s">
        <v>186</v>
      </c>
      <c r="O1" s="3" t="s">
        <v>180</v>
      </c>
      <c r="P1" s="4" t="s">
        <v>181</v>
      </c>
      <c r="Q1" s="3" t="s">
        <v>182</v>
      </c>
      <c r="R1" s="6" t="s">
        <v>162</v>
      </c>
      <c r="S1" s="6" t="s">
        <v>187</v>
      </c>
      <c r="T1" s="19" t="s">
        <v>183</v>
      </c>
      <c r="U1" s="3" t="s">
        <v>188</v>
      </c>
      <c r="V1" s="19" t="s">
        <v>189</v>
      </c>
      <c r="W1" s="3" t="s">
        <v>191</v>
      </c>
      <c r="X1" s="19" t="s">
        <v>190</v>
      </c>
      <c r="Y1" s="3" t="s">
        <v>192</v>
      </c>
      <c r="Z1" s="19" t="s">
        <v>193</v>
      </c>
      <c r="AA1" s="3" t="s">
        <v>194</v>
      </c>
      <c r="AB1" s="19" t="s">
        <v>195</v>
      </c>
      <c r="AC1" s="3" t="s">
        <v>196</v>
      </c>
      <c r="AD1" s="19" t="s">
        <v>197</v>
      </c>
      <c r="AE1" s="3" t="s">
        <v>198</v>
      </c>
      <c r="AF1" s="19" t="s">
        <v>199</v>
      </c>
      <c r="AG1" s="3" t="s">
        <v>200</v>
      </c>
      <c r="AH1" s="3" t="s">
        <v>8</v>
      </c>
      <c r="AI1" s="3" t="s">
        <v>160</v>
      </c>
      <c r="AJ1" s="3" t="s">
        <v>201</v>
      </c>
      <c r="AK1" s="3" t="s">
        <v>129</v>
      </c>
    </row>
    <row r="2" spans="1:37" x14ac:dyDescent="0.3">
      <c r="A2" s="7" t="s">
        <v>29</v>
      </c>
      <c r="B2" s="7" t="s">
        <v>47</v>
      </c>
      <c r="C2" s="7">
        <v>2026</v>
      </c>
      <c r="D2" s="7" t="s">
        <v>48</v>
      </c>
      <c r="E2" s="7">
        <v>16340</v>
      </c>
      <c r="H2" s="7" t="s">
        <v>184</v>
      </c>
      <c r="I2" s="7" t="s">
        <v>30</v>
      </c>
      <c r="J2" s="7" t="s">
        <v>10</v>
      </c>
      <c r="O2" s="8">
        <v>344000</v>
      </c>
      <c r="P2" s="8"/>
      <c r="Q2" s="2">
        <v>288746</v>
      </c>
      <c r="R2" s="2"/>
      <c r="S2" s="8">
        <v>288746</v>
      </c>
      <c r="T2" s="8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2" s="2">
        <f>Tabla1[[#This Row],[Avance 20%]]+Tabla1[[#This Row],[Pago de Activos Fijos]]+Tabla1[[#This Row],[Total Cubicado]]</f>
        <v>288746</v>
      </c>
      <c r="AJ2" s="7" t="s">
        <v>38</v>
      </c>
      <c r="AK2" s="22">
        <f>Tabla1[[#This Row],[TOTAL PAGADO]]/Tabla1[[#This Row],[Monto Adjudicado]]*100%</f>
        <v>1</v>
      </c>
    </row>
    <row r="3" spans="1:37" x14ac:dyDescent="0.3">
      <c r="B3" s="7" t="s">
        <v>153</v>
      </c>
      <c r="C3" s="7">
        <v>2025</v>
      </c>
      <c r="D3" s="7" t="s">
        <v>161</v>
      </c>
      <c r="E3" s="7">
        <v>16879</v>
      </c>
      <c r="F3" s="7" t="s">
        <v>133</v>
      </c>
      <c r="G3" s="7">
        <v>14</v>
      </c>
      <c r="H3" s="7" t="s">
        <v>185</v>
      </c>
      <c r="I3" s="7" t="s">
        <v>49</v>
      </c>
      <c r="J3" s="7" t="s">
        <v>50</v>
      </c>
      <c r="K3" s="7" t="s">
        <v>56</v>
      </c>
      <c r="L3" s="7" t="s">
        <v>149</v>
      </c>
      <c r="M3" s="7">
        <v>75</v>
      </c>
      <c r="O3" s="2">
        <v>705067.08</v>
      </c>
      <c r="P3" s="2"/>
      <c r="Q3" s="2">
        <v>648739.39</v>
      </c>
      <c r="R3" s="2">
        <v>0</v>
      </c>
      <c r="S3" s="2">
        <v>0</v>
      </c>
      <c r="T3" s="2" t="s">
        <v>175</v>
      </c>
      <c r="U3" s="2">
        <v>393436.7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393436.7</v>
      </c>
      <c r="AI3" s="2">
        <f>Tabla1[[#This Row],[Avance 20%]]+Tabla1[[#This Row],[Pago de Activos Fijos]]+Tabla1[[#This Row],[Total Cubicado]]</f>
        <v>393436.7</v>
      </c>
      <c r="AJ3" s="7" t="s">
        <v>154</v>
      </c>
      <c r="AK3" s="22">
        <f>Tabla1[[#This Row],[TOTAL PAGADO]]/Tabla1[[#This Row],[Monto Adjudicado]]*100%</f>
        <v>0.60646340589863057</v>
      </c>
    </row>
    <row r="4" spans="1:37" x14ac:dyDescent="0.3">
      <c r="B4" s="7" t="s">
        <v>153</v>
      </c>
      <c r="C4" s="7">
        <v>2025</v>
      </c>
      <c r="D4" s="7" t="s">
        <v>161</v>
      </c>
      <c r="E4" s="7">
        <v>16879</v>
      </c>
      <c r="F4" s="7" t="s">
        <v>133</v>
      </c>
      <c r="G4" s="7">
        <v>15</v>
      </c>
      <c r="H4" s="7" t="s">
        <v>185</v>
      </c>
      <c r="I4" s="7" t="s">
        <v>49</v>
      </c>
      <c r="J4" s="7" t="s">
        <v>50</v>
      </c>
      <c r="K4" s="7" t="s">
        <v>56</v>
      </c>
      <c r="L4" s="7" t="s">
        <v>150</v>
      </c>
      <c r="M4" s="7">
        <v>350</v>
      </c>
      <c r="O4" s="2">
        <v>1502938.05</v>
      </c>
      <c r="P4" s="2"/>
      <c r="Q4" s="2">
        <v>1396857.16</v>
      </c>
      <c r="R4" s="2">
        <v>0</v>
      </c>
      <c r="S4" s="2">
        <v>0</v>
      </c>
      <c r="T4" s="2" t="s">
        <v>175</v>
      </c>
      <c r="U4" s="2">
        <v>900373.29</v>
      </c>
      <c r="V4" s="2" t="s">
        <v>173</v>
      </c>
      <c r="W4" s="2">
        <v>82620.03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982993.32000000007</v>
      </c>
      <c r="AI4" s="2">
        <f>Tabla1[[#This Row],[Avance 20%]]+Tabla1[[#This Row],[Pago de Activos Fijos]]+Tabla1[[#This Row],[Total Cubicado]]</f>
        <v>982993.32000000007</v>
      </c>
      <c r="AJ4" s="7" t="s">
        <v>154</v>
      </c>
      <c r="AK4" s="22">
        <f>Tabla1[[#This Row],[TOTAL PAGADO]]/Tabla1[[#This Row],[Monto Adjudicado]]*100%</f>
        <v>0.70371785186682945</v>
      </c>
    </row>
    <row r="5" spans="1:37" x14ac:dyDescent="0.3">
      <c r="B5" s="7" t="s">
        <v>168</v>
      </c>
      <c r="C5" s="7">
        <v>2025</v>
      </c>
      <c r="D5" s="7" t="s">
        <v>73</v>
      </c>
      <c r="E5" s="7">
        <v>16340</v>
      </c>
      <c r="H5" s="7" t="s">
        <v>185</v>
      </c>
      <c r="I5" s="7" t="s">
        <v>49</v>
      </c>
      <c r="J5" s="7" t="s">
        <v>10</v>
      </c>
      <c r="L5" s="7" t="s">
        <v>89</v>
      </c>
      <c r="M5" s="7">
        <v>54</v>
      </c>
      <c r="O5" s="2">
        <v>544071.25</v>
      </c>
      <c r="P5" s="2"/>
      <c r="Q5" s="2">
        <v>422400.31</v>
      </c>
      <c r="R5" s="2">
        <v>84480.062000000005</v>
      </c>
      <c r="S5" s="2">
        <v>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" s="2">
        <f>Tabla1[[#This Row],[Avance 20%]]+Tabla1[[#This Row],[Pago de Activos Fijos]]+Tabla1[[#This Row],[Total Cubicado]]</f>
        <v>84480.062000000005</v>
      </c>
      <c r="AJ5" s="7" t="s">
        <v>163</v>
      </c>
      <c r="AK5" s="22">
        <f>Tabla1[[#This Row],[TOTAL PAGADO]]/Tabla1[[#This Row],[Monto Adjudicado]]*100%</f>
        <v>0.2</v>
      </c>
    </row>
    <row r="6" spans="1:37" x14ac:dyDescent="0.3">
      <c r="B6" s="7" t="s">
        <v>168</v>
      </c>
      <c r="C6" s="7">
        <v>2025</v>
      </c>
      <c r="D6" s="7" t="s">
        <v>73</v>
      </c>
      <c r="E6" s="7">
        <v>16340</v>
      </c>
      <c r="H6" s="7" t="s">
        <v>185</v>
      </c>
      <c r="I6" s="7" t="s">
        <v>49</v>
      </c>
      <c r="J6" s="7" t="s">
        <v>10</v>
      </c>
      <c r="L6" s="7" t="s">
        <v>90</v>
      </c>
      <c r="M6" s="7">
        <v>78</v>
      </c>
      <c r="O6" s="2">
        <v>233463.41</v>
      </c>
      <c r="P6" s="2"/>
      <c r="Q6" s="2">
        <v>269102.55</v>
      </c>
      <c r="R6" s="2">
        <v>53820.51</v>
      </c>
      <c r="S6" s="2">
        <v>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" s="2">
        <f>Tabla1[[#This Row],[Avance 20%]]+Tabla1[[#This Row],[Pago de Activos Fijos]]+Tabla1[[#This Row],[Total Cubicado]]</f>
        <v>53820.51</v>
      </c>
      <c r="AJ6" s="7" t="s">
        <v>163</v>
      </c>
      <c r="AK6" s="22">
        <f>Tabla1[[#This Row],[TOTAL PAGADO]]/Tabla1[[#This Row],[Monto Adjudicado]]*100%</f>
        <v>0.2</v>
      </c>
    </row>
    <row r="7" spans="1:37" x14ac:dyDescent="0.3">
      <c r="B7" s="7" t="s">
        <v>168</v>
      </c>
      <c r="C7" s="7">
        <v>2025</v>
      </c>
      <c r="D7" s="7" t="s">
        <v>73</v>
      </c>
      <c r="E7" s="7">
        <v>16340</v>
      </c>
      <c r="H7" s="7" t="s">
        <v>185</v>
      </c>
      <c r="I7" s="7" t="s">
        <v>49</v>
      </c>
      <c r="J7" s="7" t="s">
        <v>10</v>
      </c>
      <c r="L7" s="7" t="s">
        <v>91</v>
      </c>
      <c r="M7" s="7">
        <v>66</v>
      </c>
      <c r="O7" s="2">
        <v>363390.87</v>
      </c>
      <c r="P7" s="2"/>
      <c r="Q7" s="2">
        <v>331387.64</v>
      </c>
      <c r="R7" s="2">
        <v>66277.528000000006</v>
      </c>
      <c r="S7" s="2">
        <v>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7" s="2">
        <f>Tabla1[[#This Row],[Avance 20%]]+Tabla1[[#This Row],[Pago de Activos Fijos]]+Tabla1[[#This Row],[Total Cubicado]]</f>
        <v>66277.528000000006</v>
      </c>
      <c r="AJ7" s="7" t="s">
        <v>163</v>
      </c>
      <c r="AK7" s="22">
        <f>Tabla1[[#This Row],[TOTAL PAGADO]]/Tabla1[[#This Row],[Monto Adjudicado]]*100%</f>
        <v>0.2</v>
      </c>
    </row>
    <row r="8" spans="1:37" x14ac:dyDescent="0.3">
      <c r="B8" s="7" t="s">
        <v>168</v>
      </c>
      <c r="C8" s="7">
        <v>2025</v>
      </c>
      <c r="D8" s="7" t="s">
        <v>73</v>
      </c>
      <c r="E8" s="7">
        <v>16340</v>
      </c>
      <c r="H8" s="7" t="s">
        <v>185</v>
      </c>
      <c r="I8" s="7" t="s">
        <v>49</v>
      </c>
      <c r="J8" s="7" t="s">
        <v>10</v>
      </c>
      <c r="L8" s="7" t="s">
        <v>92</v>
      </c>
      <c r="M8" s="7">
        <v>57</v>
      </c>
      <c r="O8" s="2">
        <v>308577.71999999997</v>
      </c>
      <c r="P8" s="2"/>
      <c r="Q8" s="2">
        <v>291918.65000000002</v>
      </c>
      <c r="R8" s="2">
        <v>58383.73000000001</v>
      </c>
      <c r="S8" s="2">
        <v>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8" s="2">
        <f>Tabla1[[#This Row],[Avance 20%]]+Tabla1[[#This Row],[Pago de Activos Fijos]]+Tabla1[[#This Row],[Total Cubicado]]</f>
        <v>58383.73000000001</v>
      </c>
      <c r="AJ8" s="7" t="s">
        <v>163</v>
      </c>
      <c r="AK8" s="22">
        <f>Tabla1[[#This Row],[TOTAL PAGADO]]/Tabla1[[#This Row],[Monto Adjudicado]]*100%</f>
        <v>0.2</v>
      </c>
    </row>
    <row r="9" spans="1:37" x14ac:dyDescent="0.3">
      <c r="B9" s="7" t="s">
        <v>168</v>
      </c>
      <c r="C9" s="7">
        <v>2025</v>
      </c>
      <c r="D9" s="7" t="s">
        <v>73</v>
      </c>
      <c r="E9" s="7">
        <v>16340</v>
      </c>
      <c r="H9" s="7" t="s">
        <v>185</v>
      </c>
      <c r="I9" s="7" t="s">
        <v>49</v>
      </c>
      <c r="J9" s="7" t="s">
        <v>10</v>
      </c>
      <c r="L9" s="7" t="s">
        <v>93</v>
      </c>
      <c r="M9" s="7">
        <v>48</v>
      </c>
      <c r="O9" s="2">
        <v>263915.15999999997</v>
      </c>
      <c r="P9" s="2"/>
      <c r="Q9" s="2">
        <v>258195.18</v>
      </c>
      <c r="R9" s="2">
        <v>51639.036</v>
      </c>
      <c r="S9" s="2">
        <v>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" s="2">
        <f>Tabla1[[#This Row],[Avance 20%]]+Tabla1[[#This Row],[Pago de Activos Fijos]]+Tabla1[[#This Row],[Total Cubicado]]</f>
        <v>51639.036</v>
      </c>
      <c r="AJ9" s="7" t="s">
        <v>163</v>
      </c>
      <c r="AK9" s="22">
        <f>Tabla1[[#This Row],[TOTAL PAGADO]]/Tabla1[[#This Row],[Monto Adjudicado]]*100%</f>
        <v>0.2</v>
      </c>
    </row>
    <row r="10" spans="1:37" x14ac:dyDescent="0.3">
      <c r="B10" s="7" t="s">
        <v>168</v>
      </c>
      <c r="C10" s="7">
        <v>2025</v>
      </c>
      <c r="D10" s="7" t="s">
        <v>73</v>
      </c>
      <c r="E10" s="7">
        <v>16340</v>
      </c>
      <c r="H10" s="7" t="s">
        <v>185</v>
      </c>
      <c r="I10" s="7" t="s">
        <v>49</v>
      </c>
      <c r="J10" s="7" t="s">
        <v>10</v>
      </c>
      <c r="L10" s="7" t="s">
        <v>94</v>
      </c>
      <c r="M10" s="7">
        <v>6</v>
      </c>
      <c r="O10" s="2">
        <v>162409.32999999999</v>
      </c>
      <c r="P10" s="2"/>
      <c r="Q10" s="2">
        <v>161338.49</v>
      </c>
      <c r="R10" s="2">
        <v>32267.698</v>
      </c>
      <c r="S10" s="2">
        <v>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" s="2">
        <f>Tabla1[[#This Row],[Avance 20%]]+Tabla1[[#This Row],[Pago de Activos Fijos]]+Tabla1[[#This Row],[Total Cubicado]]</f>
        <v>32267.698</v>
      </c>
      <c r="AJ10" s="7" t="s">
        <v>163</v>
      </c>
      <c r="AK10" s="22">
        <f>Tabla1[[#This Row],[TOTAL PAGADO]]/Tabla1[[#This Row],[Monto Adjudicado]]*100%</f>
        <v>0.2</v>
      </c>
    </row>
    <row r="11" spans="1:37" x14ac:dyDescent="0.3">
      <c r="B11" s="7" t="s">
        <v>168</v>
      </c>
      <c r="C11" s="7">
        <v>2025</v>
      </c>
      <c r="D11" s="7" t="s">
        <v>73</v>
      </c>
      <c r="E11" s="7">
        <v>16340</v>
      </c>
      <c r="H11" s="7" t="s">
        <v>185</v>
      </c>
      <c r="I11" s="7" t="s">
        <v>49</v>
      </c>
      <c r="J11" s="7" t="s">
        <v>10</v>
      </c>
      <c r="L11" s="7" t="s">
        <v>95</v>
      </c>
      <c r="M11" s="7">
        <v>36</v>
      </c>
      <c r="O11" s="2">
        <v>535950.78</v>
      </c>
      <c r="P11" s="2"/>
      <c r="Q11" s="2">
        <v>400917.65</v>
      </c>
      <c r="R11" s="2">
        <v>80183.530000000013</v>
      </c>
      <c r="S11" s="2">
        <v>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1" s="2">
        <f>Tabla1[[#This Row],[Avance 20%]]+Tabla1[[#This Row],[Pago de Activos Fijos]]+Tabla1[[#This Row],[Total Cubicado]]</f>
        <v>80183.530000000013</v>
      </c>
      <c r="AJ11" s="7" t="s">
        <v>163</v>
      </c>
      <c r="AK11" s="22">
        <f>Tabla1[[#This Row],[TOTAL PAGADO]]/Tabla1[[#This Row],[Monto Adjudicado]]*100%</f>
        <v>0.2</v>
      </c>
    </row>
    <row r="12" spans="1:37" x14ac:dyDescent="0.3">
      <c r="B12" s="7" t="s">
        <v>168</v>
      </c>
      <c r="C12" s="7">
        <v>2025</v>
      </c>
      <c r="D12" s="7" t="s">
        <v>73</v>
      </c>
      <c r="E12" s="7">
        <v>16340</v>
      </c>
      <c r="H12" s="7" t="s">
        <v>185</v>
      </c>
      <c r="I12" s="7" t="s">
        <v>49</v>
      </c>
      <c r="J12" s="7" t="s">
        <v>10</v>
      </c>
      <c r="L12" s="7" t="s">
        <v>172</v>
      </c>
      <c r="M12" s="7">
        <v>48</v>
      </c>
      <c r="O12" s="2">
        <v>540011.02</v>
      </c>
      <c r="P12" s="2"/>
      <c r="Q12" s="2">
        <v>414473.32</v>
      </c>
      <c r="R12" s="2">
        <v>82894.664000000004</v>
      </c>
      <c r="S12" s="2">
        <v>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2" s="2">
        <f>Tabla1[[#This Row],[Avance 20%]]+Tabla1[[#This Row],[Pago de Activos Fijos]]+Tabla1[[#This Row],[Total Cubicado]]</f>
        <v>82894.664000000004</v>
      </c>
      <c r="AJ12" s="7" t="s">
        <v>163</v>
      </c>
      <c r="AK12" s="22">
        <f>Tabla1[[#This Row],[TOTAL PAGADO]]/Tabla1[[#This Row],[Monto Adjudicado]]*100%</f>
        <v>0.2</v>
      </c>
    </row>
    <row r="13" spans="1:37" x14ac:dyDescent="0.3">
      <c r="B13" s="7" t="s">
        <v>168</v>
      </c>
      <c r="C13" s="7">
        <v>2025</v>
      </c>
      <c r="D13" s="7" t="s">
        <v>73</v>
      </c>
      <c r="E13" s="7">
        <v>16340</v>
      </c>
      <c r="H13" s="7" t="s">
        <v>185</v>
      </c>
      <c r="I13" s="7" t="s">
        <v>49</v>
      </c>
      <c r="J13" s="7" t="s">
        <v>10</v>
      </c>
      <c r="L13" s="7" t="s">
        <v>96</v>
      </c>
      <c r="M13" s="7">
        <v>123</v>
      </c>
      <c r="O13" s="2">
        <v>578583.23</v>
      </c>
      <c r="P13" s="2"/>
      <c r="Q13" s="2">
        <v>497311.45</v>
      </c>
      <c r="R13" s="2">
        <v>99462.290000000008</v>
      </c>
      <c r="S13" s="2">
        <v>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3" s="2">
        <f>Tabla1[[#This Row],[Avance 20%]]+Tabla1[[#This Row],[Pago de Activos Fijos]]+Tabla1[[#This Row],[Total Cubicado]]</f>
        <v>99462.290000000008</v>
      </c>
      <c r="AJ13" s="7" t="s">
        <v>163</v>
      </c>
      <c r="AK13" s="22">
        <f>Tabla1[[#This Row],[TOTAL PAGADO]]/Tabla1[[#This Row],[Monto Adjudicado]]*100%</f>
        <v>0.2</v>
      </c>
    </row>
    <row r="14" spans="1:37" x14ac:dyDescent="0.3">
      <c r="B14" s="7" t="s">
        <v>168</v>
      </c>
      <c r="C14" s="7">
        <v>2025</v>
      </c>
      <c r="D14" s="7" t="s">
        <v>73</v>
      </c>
      <c r="E14" s="7">
        <v>16340</v>
      </c>
      <c r="H14" s="7" t="s">
        <v>185</v>
      </c>
      <c r="I14" s="7" t="s">
        <v>49</v>
      </c>
      <c r="J14" s="7" t="s">
        <v>10</v>
      </c>
      <c r="L14" s="7" t="s">
        <v>97</v>
      </c>
      <c r="M14" s="7">
        <v>120</v>
      </c>
      <c r="O14" s="2">
        <v>304517.49</v>
      </c>
      <c r="P14" s="2"/>
      <c r="Q14" s="2">
        <v>348722.69</v>
      </c>
      <c r="R14" s="2">
        <v>69744.538</v>
      </c>
      <c r="S14" s="2">
        <v>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4" s="2">
        <f>Tabla1[[#This Row],[Avance 20%]]+Tabla1[[#This Row],[Pago de Activos Fijos]]+Tabla1[[#This Row],[Total Cubicado]]</f>
        <v>69744.538</v>
      </c>
      <c r="AJ14" s="7" t="s">
        <v>163</v>
      </c>
      <c r="AK14" s="22">
        <f>Tabla1[[#This Row],[TOTAL PAGADO]]/Tabla1[[#This Row],[Monto Adjudicado]]*100%</f>
        <v>0.2</v>
      </c>
    </row>
    <row r="15" spans="1:37" x14ac:dyDescent="0.3">
      <c r="B15" s="7" t="s">
        <v>168</v>
      </c>
      <c r="C15" s="7">
        <v>2025</v>
      </c>
      <c r="D15" s="7" t="s">
        <v>73</v>
      </c>
      <c r="E15" s="7">
        <v>16340</v>
      </c>
      <c r="H15" s="7" t="s">
        <v>185</v>
      </c>
      <c r="I15" s="7" t="s">
        <v>49</v>
      </c>
      <c r="J15" s="7" t="s">
        <v>10</v>
      </c>
      <c r="L15" s="7" t="s">
        <v>98</v>
      </c>
      <c r="M15" s="7">
        <v>45</v>
      </c>
      <c r="O15" s="2">
        <v>812046.64</v>
      </c>
      <c r="P15" s="2"/>
      <c r="Q15" s="2">
        <v>565638.86</v>
      </c>
      <c r="R15" s="2">
        <v>113127.772</v>
      </c>
      <c r="S15" s="2">
        <v>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5" s="2">
        <f>Tabla1[[#This Row],[Avance 20%]]+Tabla1[[#This Row],[Pago de Activos Fijos]]+Tabla1[[#This Row],[Total Cubicado]]</f>
        <v>113127.772</v>
      </c>
      <c r="AJ15" s="7" t="s">
        <v>163</v>
      </c>
      <c r="AK15" s="22">
        <f>Tabla1[[#This Row],[TOTAL PAGADO]]/Tabla1[[#This Row],[Monto Adjudicado]]*100%</f>
        <v>0.2</v>
      </c>
    </row>
    <row r="16" spans="1:37" x14ac:dyDescent="0.3">
      <c r="B16" s="7" t="s">
        <v>168</v>
      </c>
      <c r="C16" s="7">
        <v>2025</v>
      </c>
      <c r="D16" s="7" t="s">
        <v>73</v>
      </c>
      <c r="E16" s="7">
        <v>16340</v>
      </c>
      <c r="H16" s="7" t="s">
        <v>185</v>
      </c>
      <c r="I16" s="7" t="s">
        <v>49</v>
      </c>
      <c r="J16" s="7" t="s">
        <v>10</v>
      </c>
      <c r="L16" s="7" t="s">
        <v>99</v>
      </c>
      <c r="M16" s="7">
        <v>30</v>
      </c>
      <c r="O16" s="2">
        <v>710540.81</v>
      </c>
      <c r="P16" s="2"/>
      <c r="Q16" s="2">
        <v>494111.7</v>
      </c>
      <c r="R16" s="2">
        <v>98822.340000000011</v>
      </c>
      <c r="S16" s="2">
        <v>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6" s="2">
        <f>Tabla1[[#This Row],[Avance 20%]]+Tabla1[[#This Row],[Pago de Activos Fijos]]+Tabla1[[#This Row],[Total Cubicado]]</f>
        <v>98822.340000000011</v>
      </c>
      <c r="AJ16" s="7" t="s">
        <v>163</v>
      </c>
      <c r="AK16" s="22">
        <f>Tabla1[[#This Row],[TOTAL PAGADO]]/Tabla1[[#This Row],[Monto Adjudicado]]*100%</f>
        <v>0.2</v>
      </c>
    </row>
    <row r="17" spans="2:37" x14ac:dyDescent="0.3">
      <c r="B17" s="7" t="s">
        <v>168</v>
      </c>
      <c r="C17" s="7">
        <v>2025</v>
      </c>
      <c r="D17" s="7" t="s">
        <v>73</v>
      </c>
      <c r="E17" s="7">
        <v>16340</v>
      </c>
      <c r="H17" s="7" t="s">
        <v>185</v>
      </c>
      <c r="I17" s="7" t="s">
        <v>49</v>
      </c>
      <c r="J17" s="7" t="s">
        <v>10</v>
      </c>
      <c r="L17" s="7" t="s">
        <v>100</v>
      </c>
      <c r="M17" s="7">
        <v>51</v>
      </c>
      <c r="O17" s="2">
        <v>531890.55000000005</v>
      </c>
      <c r="P17" s="2"/>
      <c r="Q17" s="2">
        <v>417265.42</v>
      </c>
      <c r="R17" s="2">
        <v>83453.084000000003</v>
      </c>
      <c r="S17" s="2">
        <v>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7" s="2">
        <f>Tabla1[[#This Row],[Avance 20%]]+Tabla1[[#This Row],[Pago de Activos Fijos]]+Tabla1[[#This Row],[Total Cubicado]]</f>
        <v>83453.084000000003</v>
      </c>
      <c r="AJ17" s="7" t="s">
        <v>163</v>
      </c>
      <c r="AK17" s="22">
        <f>Tabla1[[#This Row],[TOTAL PAGADO]]/Tabla1[[#This Row],[Monto Adjudicado]]*100%</f>
        <v>0.2</v>
      </c>
    </row>
    <row r="18" spans="2:37" x14ac:dyDescent="0.3">
      <c r="B18" s="7" t="s">
        <v>168</v>
      </c>
      <c r="C18" s="7">
        <v>2025</v>
      </c>
      <c r="D18" s="7" t="s">
        <v>73</v>
      </c>
      <c r="E18" s="7">
        <v>16340</v>
      </c>
      <c r="H18" s="7" t="s">
        <v>185</v>
      </c>
      <c r="I18" s="7" t="s">
        <v>49</v>
      </c>
      <c r="J18" s="7" t="s">
        <v>10</v>
      </c>
      <c r="L18" s="7" t="s">
        <v>101</v>
      </c>
      <c r="M18" s="7">
        <v>147</v>
      </c>
      <c r="O18" s="2">
        <v>507529.15</v>
      </c>
      <c r="P18" s="2"/>
      <c r="Q18" s="2">
        <v>488962.61</v>
      </c>
      <c r="R18" s="2">
        <v>97792.521999999997</v>
      </c>
      <c r="S18" s="2">
        <v>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8" s="2">
        <f>Tabla1[[#This Row],[Avance 20%]]+Tabla1[[#This Row],[Pago de Activos Fijos]]+Tabla1[[#This Row],[Total Cubicado]]</f>
        <v>97792.521999999997</v>
      </c>
      <c r="AJ18" s="7" t="s">
        <v>163</v>
      </c>
      <c r="AK18" s="22">
        <f>Tabla1[[#This Row],[TOTAL PAGADO]]/Tabla1[[#This Row],[Monto Adjudicado]]*100%</f>
        <v>0.2</v>
      </c>
    </row>
    <row r="19" spans="2:37" x14ac:dyDescent="0.3">
      <c r="B19" s="7" t="s">
        <v>168</v>
      </c>
      <c r="C19" s="7">
        <v>2025</v>
      </c>
      <c r="D19" s="7" t="s">
        <v>73</v>
      </c>
      <c r="E19" s="7">
        <v>16340</v>
      </c>
      <c r="H19" s="7" t="s">
        <v>185</v>
      </c>
      <c r="I19" s="7" t="s">
        <v>49</v>
      </c>
      <c r="J19" s="7" t="s">
        <v>10</v>
      </c>
      <c r="L19" s="7" t="s">
        <v>102</v>
      </c>
      <c r="M19" s="7">
        <v>42</v>
      </c>
      <c r="O19" s="2">
        <v>172559.91</v>
      </c>
      <c r="P19" s="2"/>
      <c r="Q19" s="2">
        <v>200850.72</v>
      </c>
      <c r="R19" s="2">
        <v>40170.144</v>
      </c>
      <c r="S19" s="2">
        <v>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9" s="2">
        <f>Tabla1[[#This Row],[Avance 20%]]+Tabla1[[#This Row],[Pago de Activos Fijos]]+Tabla1[[#This Row],[Total Cubicado]]</f>
        <v>40170.144</v>
      </c>
      <c r="AJ19" s="7" t="s">
        <v>163</v>
      </c>
      <c r="AK19" s="22">
        <f>Tabla1[[#This Row],[TOTAL PAGADO]]/Tabla1[[#This Row],[Monto Adjudicado]]*100%</f>
        <v>0.2</v>
      </c>
    </row>
    <row r="20" spans="2:37" x14ac:dyDescent="0.3">
      <c r="B20" s="7" t="s">
        <v>168</v>
      </c>
      <c r="C20" s="7">
        <v>2025</v>
      </c>
      <c r="D20" s="7" t="s">
        <v>73</v>
      </c>
      <c r="E20" s="7">
        <v>16340</v>
      </c>
      <c r="H20" s="7" t="s">
        <v>185</v>
      </c>
      <c r="I20" s="7" t="s">
        <v>49</v>
      </c>
      <c r="J20" s="7" t="s">
        <v>62</v>
      </c>
      <c r="L20" s="7" t="s">
        <v>63</v>
      </c>
      <c r="M20" s="7">
        <v>2010</v>
      </c>
      <c r="O20" s="2">
        <v>225612.52740823478</v>
      </c>
      <c r="P20" s="2"/>
      <c r="Q20" s="2">
        <v>231263.29</v>
      </c>
      <c r="R20" s="2">
        <v>46252.658000000003</v>
      </c>
      <c r="S20" s="2">
        <v>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20" s="2">
        <f>Tabla1[[#This Row],[Avance 20%]]+Tabla1[[#This Row],[Pago de Activos Fijos]]+Tabla1[[#This Row],[Total Cubicado]]</f>
        <v>46252.658000000003</v>
      </c>
      <c r="AJ20" s="7" t="s">
        <v>163</v>
      </c>
      <c r="AK20" s="22">
        <f>Tabla1[[#This Row],[TOTAL PAGADO]]/Tabla1[[#This Row],[Monto Adjudicado]]*100%</f>
        <v>0.2</v>
      </c>
    </row>
    <row r="21" spans="2:37" x14ac:dyDescent="0.3">
      <c r="B21" s="7" t="s">
        <v>168</v>
      </c>
      <c r="C21" s="7">
        <v>2025</v>
      </c>
      <c r="D21" s="7" t="s">
        <v>73</v>
      </c>
      <c r="E21" s="7">
        <v>16340</v>
      </c>
      <c r="H21" s="7" t="s">
        <v>185</v>
      </c>
      <c r="I21" s="7" t="s">
        <v>49</v>
      </c>
      <c r="J21" s="7" t="s">
        <v>62</v>
      </c>
      <c r="L21" s="7" t="s">
        <v>64</v>
      </c>
      <c r="M21" s="7">
        <v>570</v>
      </c>
      <c r="O21" s="2">
        <v>4074815.4680292024</v>
      </c>
      <c r="P21" s="2"/>
      <c r="Q21" s="2">
        <v>4023612.21</v>
      </c>
      <c r="R21" s="2">
        <v>804722.44200000004</v>
      </c>
      <c r="S21" s="2">
        <v>0</v>
      </c>
      <c r="T21" s="2" t="s">
        <v>175</v>
      </c>
      <c r="U21" s="2">
        <v>1701350.95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1701350.95</v>
      </c>
      <c r="AI21" s="2">
        <f>Tabla1[[#This Row],[Avance 20%]]+Tabla1[[#This Row],[Pago de Activos Fijos]]+Tabla1[[#This Row],[Total Cubicado]]</f>
        <v>2506073.392</v>
      </c>
      <c r="AJ21" s="7" t="s">
        <v>163</v>
      </c>
      <c r="AK21" s="22">
        <f>Tabla1[[#This Row],[TOTAL PAGADO]]/Tabla1[[#This Row],[Monto Adjudicado]]*100%</f>
        <v>0.62284168085870284</v>
      </c>
    </row>
    <row r="22" spans="2:37" x14ac:dyDescent="0.3">
      <c r="B22" s="7" t="s">
        <v>168</v>
      </c>
      <c r="C22" s="7">
        <v>2025</v>
      </c>
      <c r="D22" s="7" t="s">
        <v>73</v>
      </c>
      <c r="E22" s="7">
        <v>16340</v>
      </c>
      <c r="H22" s="7" t="s">
        <v>185</v>
      </c>
      <c r="I22" s="7" t="s">
        <v>49</v>
      </c>
      <c r="J22" s="7" t="s">
        <v>62</v>
      </c>
      <c r="L22" s="7" t="s">
        <v>65</v>
      </c>
      <c r="M22" s="7">
        <v>36</v>
      </c>
      <c r="O22" s="2">
        <v>511793.93667326478</v>
      </c>
      <c r="P22" s="2"/>
      <c r="Q22" s="2">
        <v>523486.66</v>
      </c>
      <c r="R22" s="2">
        <v>104697.33199999999</v>
      </c>
      <c r="S22" s="2">
        <v>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22" s="2">
        <f>Tabla1[[#This Row],[Avance 20%]]+Tabla1[[#This Row],[Pago de Activos Fijos]]+Tabla1[[#This Row],[Total Cubicado]]</f>
        <v>104697.33199999999</v>
      </c>
      <c r="AJ22" s="7" t="s">
        <v>163</v>
      </c>
      <c r="AK22" s="22">
        <f>Tabla1[[#This Row],[TOTAL PAGADO]]/Tabla1[[#This Row],[Monto Adjudicado]]*100%</f>
        <v>0.2</v>
      </c>
    </row>
    <row r="23" spans="2:37" x14ac:dyDescent="0.3">
      <c r="B23" s="7" t="s">
        <v>168</v>
      </c>
      <c r="C23" s="7">
        <v>2025</v>
      </c>
      <c r="D23" s="7" t="s">
        <v>73</v>
      </c>
      <c r="E23" s="7">
        <v>16340</v>
      </c>
      <c r="H23" s="7" t="s">
        <v>185</v>
      </c>
      <c r="I23" s="7" t="s">
        <v>49</v>
      </c>
      <c r="J23" s="7" t="s">
        <v>62</v>
      </c>
      <c r="L23" s="7" t="s">
        <v>66</v>
      </c>
      <c r="M23" s="7">
        <v>141</v>
      </c>
      <c r="O23" s="2">
        <v>2438230.125270857</v>
      </c>
      <c r="P23" s="2"/>
      <c r="Q23" s="2">
        <v>2292599.09</v>
      </c>
      <c r="R23" s="2">
        <v>458519.81799999997</v>
      </c>
      <c r="S23" s="2">
        <v>0</v>
      </c>
      <c r="T23" s="2" t="s">
        <v>175</v>
      </c>
      <c r="U23" s="2">
        <v>524266.67</v>
      </c>
      <c r="V23" s="2"/>
      <c r="W23" s="2"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524266.67</v>
      </c>
      <c r="AI23" s="2">
        <f>Tabla1[[#This Row],[Avance 20%]]+Tabla1[[#This Row],[Pago de Activos Fijos]]+Tabla1[[#This Row],[Total Cubicado]]</f>
        <v>982786.4879999999</v>
      </c>
      <c r="AJ23" s="7" t="s">
        <v>163</v>
      </c>
      <c r="AK23" s="22">
        <f>Tabla1[[#This Row],[TOTAL PAGADO]]/Tabla1[[#This Row],[Monto Adjudicado]]*100%</f>
        <v>0.4286778670927589</v>
      </c>
    </row>
    <row r="24" spans="2:37" x14ac:dyDescent="0.3">
      <c r="B24" s="7" t="s">
        <v>168</v>
      </c>
      <c r="C24" s="7">
        <v>2025</v>
      </c>
      <c r="D24" s="7" t="s">
        <v>73</v>
      </c>
      <c r="E24" s="7">
        <v>16340</v>
      </c>
      <c r="H24" s="7" t="s">
        <v>185</v>
      </c>
      <c r="I24" s="7" t="s">
        <v>49</v>
      </c>
      <c r="J24" s="7" t="s">
        <v>62</v>
      </c>
      <c r="L24" s="7" t="s">
        <v>67</v>
      </c>
      <c r="M24" s="7">
        <v>30</v>
      </c>
      <c r="O24" s="2">
        <v>388955.64060050389</v>
      </c>
      <c r="P24" s="2"/>
      <c r="Q24" s="2">
        <v>404519.67</v>
      </c>
      <c r="R24" s="2">
        <v>80903.934000000008</v>
      </c>
      <c r="S24" s="2">
        <v>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24" s="2">
        <f>Tabla1[[#This Row],[Avance 20%]]+Tabla1[[#This Row],[Pago de Activos Fijos]]+Tabla1[[#This Row],[Total Cubicado]]</f>
        <v>80903.934000000008</v>
      </c>
      <c r="AJ24" s="7" t="s">
        <v>163</v>
      </c>
      <c r="AK24" s="22">
        <f>Tabla1[[#This Row],[TOTAL PAGADO]]/Tabla1[[#This Row],[Monto Adjudicado]]*100%</f>
        <v>0.20000000000000004</v>
      </c>
    </row>
    <row r="25" spans="2:37" x14ac:dyDescent="0.3">
      <c r="B25" s="7" t="s">
        <v>168</v>
      </c>
      <c r="C25" s="7">
        <v>2025</v>
      </c>
      <c r="D25" s="7" t="s">
        <v>73</v>
      </c>
      <c r="E25" s="7">
        <v>16340</v>
      </c>
      <c r="H25" s="7" t="s">
        <v>185</v>
      </c>
      <c r="I25" s="7" t="s">
        <v>49</v>
      </c>
      <c r="J25" s="7" t="s">
        <v>62</v>
      </c>
      <c r="L25" s="7" t="s">
        <v>68</v>
      </c>
      <c r="M25" s="7">
        <v>30</v>
      </c>
      <c r="O25" s="2">
        <v>342061.56774935964</v>
      </c>
      <c r="P25" s="2"/>
      <c r="Q25" s="2">
        <v>360198.56</v>
      </c>
      <c r="R25" s="2">
        <v>72039.712</v>
      </c>
      <c r="S25" s="2">
        <v>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25" s="2">
        <f>Tabla1[[#This Row],[Avance 20%]]+Tabla1[[#This Row],[Pago de Activos Fijos]]+Tabla1[[#This Row],[Total Cubicado]]</f>
        <v>72039.712</v>
      </c>
      <c r="AJ25" s="7" t="s">
        <v>163</v>
      </c>
      <c r="AK25" s="22">
        <f>Tabla1[[#This Row],[TOTAL PAGADO]]/Tabla1[[#This Row],[Monto Adjudicado]]*100%</f>
        <v>0.2</v>
      </c>
    </row>
    <row r="26" spans="2:37" x14ac:dyDescent="0.3">
      <c r="B26" s="7" t="s">
        <v>168</v>
      </c>
      <c r="C26" s="7">
        <v>2025</v>
      </c>
      <c r="D26" s="7" t="s">
        <v>73</v>
      </c>
      <c r="E26" s="7">
        <v>16340</v>
      </c>
      <c r="H26" s="7" t="s">
        <v>185</v>
      </c>
      <c r="I26" s="7" t="s">
        <v>49</v>
      </c>
      <c r="J26" s="7" t="s">
        <v>62</v>
      </c>
      <c r="L26" s="7" t="s">
        <v>69</v>
      </c>
      <c r="M26" s="7">
        <v>45</v>
      </c>
      <c r="O26" s="2">
        <v>443175.57263818232</v>
      </c>
      <c r="P26" s="2"/>
      <c r="Q26" s="2">
        <v>453564.99</v>
      </c>
      <c r="R26" s="2">
        <v>90712.998000000007</v>
      </c>
      <c r="S26" s="2">
        <v>0</v>
      </c>
      <c r="T26" s="2" t="s">
        <v>175</v>
      </c>
      <c r="U26" s="2">
        <v>222076.21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222076.21</v>
      </c>
      <c r="AI26" s="2">
        <f>Tabla1[[#This Row],[Avance 20%]]+Tabla1[[#This Row],[Pago de Activos Fijos]]+Tabla1[[#This Row],[Total Cubicado]]</f>
        <v>312789.20799999998</v>
      </c>
      <c r="AJ26" s="7" t="s">
        <v>163</v>
      </c>
      <c r="AK26" s="22">
        <f>Tabla1[[#This Row],[TOTAL PAGADO]]/Tabla1[[#This Row],[Monto Adjudicado]]*100%</f>
        <v>0.68962379128953488</v>
      </c>
    </row>
    <row r="27" spans="2:37" x14ac:dyDescent="0.3">
      <c r="B27" s="7" t="s">
        <v>168</v>
      </c>
      <c r="C27" s="7">
        <v>2025</v>
      </c>
      <c r="D27" s="7" t="s">
        <v>73</v>
      </c>
      <c r="E27" s="7">
        <v>16340</v>
      </c>
      <c r="H27" s="7" t="s">
        <v>185</v>
      </c>
      <c r="I27" s="7" t="s">
        <v>49</v>
      </c>
      <c r="J27" s="7" t="s">
        <v>62</v>
      </c>
      <c r="L27" s="7" t="s">
        <v>70</v>
      </c>
      <c r="M27" s="7">
        <v>60</v>
      </c>
      <c r="O27" s="2">
        <v>699425.0025822859</v>
      </c>
      <c r="P27" s="2"/>
      <c r="Q27" s="2">
        <v>717370.34</v>
      </c>
      <c r="R27" s="2">
        <v>143474.068</v>
      </c>
      <c r="S27" s="2">
        <v>0</v>
      </c>
      <c r="T27" s="2" t="s">
        <v>175</v>
      </c>
      <c r="U27" s="2">
        <v>305677.44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305677.44</v>
      </c>
      <c r="AI27" s="2">
        <f>Tabla1[[#This Row],[Avance 20%]]+Tabla1[[#This Row],[Pago de Activos Fijos]]+Tabla1[[#This Row],[Total Cubicado]]</f>
        <v>449151.50800000003</v>
      </c>
      <c r="AJ27" s="7" t="s">
        <v>163</v>
      </c>
      <c r="AK27" s="22">
        <f>Tabla1[[#This Row],[TOTAL PAGADO]]/Tabla1[[#This Row],[Monto Adjudicado]]*100%</f>
        <v>0.62610827762965504</v>
      </c>
    </row>
    <row r="28" spans="2:37" x14ac:dyDescent="0.3">
      <c r="B28" s="7" t="s">
        <v>168</v>
      </c>
      <c r="C28" s="7">
        <v>2025</v>
      </c>
      <c r="D28" s="7" t="s">
        <v>73</v>
      </c>
      <c r="E28" s="7">
        <v>16340</v>
      </c>
      <c r="H28" s="7" t="s">
        <v>185</v>
      </c>
      <c r="I28" s="7" t="s">
        <v>49</v>
      </c>
      <c r="J28" s="7" t="s">
        <v>62</v>
      </c>
      <c r="L28" s="7" t="s">
        <v>71</v>
      </c>
      <c r="M28" s="7">
        <v>45</v>
      </c>
      <c r="O28" s="2">
        <v>167892.06160215902</v>
      </c>
      <c r="P28" s="2"/>
      <c r="Q28" s="2">
        <v>180968.24</v>
      </c>
      <c r="R28" s="2">
        <v>36193.648000000001</v>
      </c>
      <c r="S28" s="2">
        <v>0</v>
      </c>
      <c r="T28" s="2" t="s">
        <v>175</v>
      </c>
      <c r="U28" s="2">
        <v>80610.259999999995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80610.259999999995</v>
      </c>
      <c r="AI28" s="2">
        <f>Tabla1[[#This Row],[Avance 20%]]+Tabla1[[#This Row],[Pago de Activos Fijos]]+Tabla1[[#This Row],[Total Cubicado]]</f>
        <v>116803.908</v>
      </c>
      <c r="AJ28" s="7" t="s">
        <v>163</v>
      </c>
      <c r="AK28" s="22">
        <f>Tabla1[[#This Row],[TOTAL PAGADO]]/Tabla1[[#This Row],[Monto Adjudicado]]*100%</f>
        <v>0.64543871344496695</v>
      </c>
    </row>
    <row r="29" spans="2:37" x14ac:dyDescent="0.3">
      <c r="B29" s="7" t="s">
        <v>168</v>
      </c>
      <c r="C29" s="7">
        <v>2025</v>
      </c>
      <c r="D29" s="7" t="s">
        <v>73</v>
      </c>
      <c r="E29" s="7">
        <v>16340</v>
      </c>
      <c r="H29" s="7" t="s">
        <v>185</v>
      </c>
      <c r="I29" s="7" t="s">
        <v>49</v>
      </c>
      <c r="J29" s="7" t="s">
        <v>62</v>
      </c>
      <c r="L29" s="7" t="s">
        <v>72</v>
      </c>
      <c r="M29" s="7">
        <v>147</v>
      </c>
      <c r="O29" s="2">
        <v>2478584.5621000337</v>
      </c>
      <c r="P29" s="2"/>
      <c r="Q29" s="2">
        <v>2414870.65</v>
      </c>
      <c r="R29" s="2">
        <v>482974.13</v>
      </c>
      <c r="S29" s="2">
        <v>0</v>
      </c>
      <c r="T29" s="2" t="s">
        <v>175</v>
      </c>
      <c r="U29" s="2">
        <v>829413.55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829413.55</v>
      </c>
      <c r="AI29" s="2">
        <f>Tabla1[[#This Row],[Avance 20%]]+Tabla1[[#This Row],[Pago de Activos Fijos]]+Tabla1[[#This Row],[Total Cubicado]]</f>
        <v>1312387.6800000002</v>
      </c>
      <c r="AJ29" s="7" t="s">
        <v>163</v>
      </c>
      <c r="AK29" s="22">
        <f>Tabla1[[#This Row],[TOTAL PAGADO]]/Tabla1[[#This Row],[Monto Adjudicado]]*100%</f>
        <v>0.54346085990154391</v>
      </c>
    </row>
    <row r="30" spans="2:37" x14ac:dyDescent="0.3">
      <c r="B30" s="7" t="s">
        <v>168</v>
      </c>
      <c r="C30" s="7">
        <v>2025</v>
      </c>
      <c r="D30" s="7" t="s">
        <v>73</v>
      </c>
      <c r="E30" s="7">
        <v>16340</v>
      </c>
      <c r="H30" s="7" t="s">
        <v>185</v>
      </c>
      <c r="I30" s="7" t="s">
        <v>49</v>
      </c>
      <c r="J30" s="7" t="s">
        <v>84</v>
      </c>
      <c r="L30" s="7" t="s">
        <v>79</v>
      </c>
      <c r="M30" s="7">
        <v>129</v>
      </c>
      <c r="O30" s="2">
        <v>957992.1913005003</v>
      </c>
      <c r="P30" s="2"/>
      <c r="Q30" s="2">
        <v>924528.92</v>
      </c>
      <c r="R30" s="2">
        <v>184905.78400000001</v>
      </c>
      <c r="S30" s="2">
        <v>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0" s="2">
        <f>Tabla1[[#This Row],[Avance 20%]]+Tabla1[[#This Row],[Pago de Activos Fijos]]+Tabla1[[#This Row],[Total Cubicado]]</f>
        <v>184905.78400000001</v>
      </c>
      <c r="AJ30" s="7" t="s">
        <v>163</v>
      </c>
      <c r="AK30" s="22">
        <f>Tabla1[[#This Row],[TOTAL PAGADO]]/Tabla1[[#This Row],[Monto Adjudicado]]*100%</f>
        <v>0.2</v>
      </c>
    </row>
    <row r="31" spans="2:37" x14ac:dyDescent="0.3">
      <c r="B31" s="7" t="s">
        <v>168</v>
      </c>
      <c r="C31" s="7">
        <v>2025</v>
      </c>
      <c r="D31" s="7" t="s">
        <v>73</v>
      </c>
      <c r="E31" s="7">
        <v>16340</v>
      </c>
      <c r="H31" s="7" t="s">
        <v>185</v>
      </c>
      <c r="I31" s="7" t="s">
        <v>49</v>
      </c>
      <c r="J31" s="7" t="s">
        <v>84</v>
      </c>
      <c r="L31" s="7" t="s">
        <v>80</v>
      </c>
      <c r="M31" s="7">
        <v>105</v>
      </c>
      <c r="O31" s="2">
        <v>895601.91391050024</v>
      </c>
      <c r="P31" s="2"/>
      <c r="Q31" s="2">
        <v>849850.88</v>
      </c>
      <c r="R31" s="2">
        <v>169970.17600000001</v>
      </c>
      <c r="S31" s="2">
        <v>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1" s="2">
        <f>Tabla1[[#This Row],[Avance 20%]]+Tabla1[[#This Row],[Pago de Activos Fijos]]+Tabla1[[#This Row],[Total Cubicado]]</f>
        <v>169970.17600000001</v>
      </c>
      <c r="AJ31" s="7" t="s">
        <v>163</v>
      </c>
      <c r="AK31" s="22">
        <f>Tabla1[[#This Row],[TOTAL PAGADO]]/Tabla1[[#This Row],[Monto Adjudicado]]*100%</f>
        <v>0.2</v>
      </c>
    </row>
    <row r="32" spans="2:37" x14ac:dyDescent="0.3">
      <c r="B32" s="7" t="s">
        <v>168</v>
      </c>
      <c r="C32" s="7">
        <v>2025</v>
      </c>
      <c r="D32" s="7" t="s">
        <v>73</v>
      </c>
      <c r="E32" s="7">
        <v>16340</v>
      </c>
      <c r="H32" s="7" t="s">
        <v>185</v>
      </c>
      <c r="I32" s="7" t="s">
        <v>49</v>
      </c>
      <c r="J32" s="7" t="s">
        <v>84</v>
      </c>
      <c r="L32" s="7" t="s">
        <v>81</v>
      </c>
      <c r="M32" s="7">
        <v>75</v>
      </c>
      <c r="O32" s="2">
        <v>668232.31271615904</v>
      </c>
      <c r="P32" s="2"/>
      <c r="Q32" s="2">
        <v>667632.81000000006</v>
      </c>
      <c r="R32" s="2">
        <v>133526.56200000001</v>
      </c>
      <c r="S32" s="2">
        <v>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2" s="2">
        <f>Tabla1[[#This Row],[Avance 20%]]+Tabla1[[#This Row],[Pago de Activos Fijos]]+Tabla1[[#This Row],[Total Cubicado]]</f>
        <v>133526.56200000001</v>
      </c>
      <c r="AJ32" s="7" t="s">
        <v>163</v>
      </c>
      <c r="AK32" s="22">
        <f>Tabla1[[#This Row],[TOTAL PAGADO]]/Tabla1[[#This Row],[Monto Adjudicado]]*100%</f>
        <v>0.19999999999999998</v>
      </c>
    </row>
    <row r="33" spans="2:37" x14ac:dyDescent="0.3">
      <c r="B33" s="7" t="s">
        <v>168</v>
      </c>
      <c r="C33" s="7">
        <v>2025</v>
      </c>
      <c r="D33" s="7" t="s">
        <v>73</v>
      </c>
      <c r="E33" s="7">
        <v>16340</v>
      </c>
      <c r="H33" s="7" t="s">
        <v>185</v>
      </c>
      <c r="I33" s="7" t="s">
        <v>49</v>
      </c>
      <c r="J33" s="7" t="s">
        <v>84</v>
      </c>
      <c r="L33" s="7" t="s">
        <v>82</v>
      </c>
      <c r="M33" s="7">
        <v>45</v>
      </c>
      <c r="O33" s="2">
        <v>281073.73719675053</v>
      </c>
      <c r="P33" s="2"/>
      <c r="Q33" s="2">
        <v>287159.2</v>
      </c>
      <c r="R33" s="2">
        <v>57431.840000000004</v>
      </c>
      <c r="S33" s="2">
        <v>0</v>
      </c>
      <c r="T33" s="2" t="s">
        <v>175</v>
      </c>
      <c r="U33" s="2">
        <v>68518.09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68518.09</v>
      </c>
      <c r="AI33" s="2">
        <f>Tabla1[[#This Row],[Avance 20%]]+Tabla1[[#This Row],[Pago de Activos Fijos]]+Tabla1[[#This Row],[Total Cubicado]]</f>
        <v>125949.93</v>
      </c>
      <c r="AJ33" s="7" t="s">
        <v>163</v>
      </c>
      <c r="AK33" s="22">
        <f>Tabla1[[#This Row],[TOTAL PAGADO]]/Tabla1[[#This Row],[Monto Adjudicado]]*100%</f>
        <v>0.43860663353289742</v>
      </c>
    </row>
    <row r="34" spans="2:37" x14ac:dyDescent="0.3">
      <c r="B34" s="7" t="s">
        <v>168</v>
      </c>
      <c r="C34" s="7">
        <v>2025</v>
      </c>
      <c r="D34" s="7" t="s">
        <v>73</v>
      </c>
      <c r="E34" s="7">
        <v>16340</v>
      </c>
      <c r="H34" s="7" t="s">
        <v>185</v>
      </c>
      <c r="I34" s="7" t="s">
        <v>49</v>
      </c>
      <c r="J34" s="7" t="s">
        <v>84</v>
      </c>
      <c r="L34" s="7" t="s">
        <v>85</v>
      </c>
      <c r="M34" s="7">
        <v>90</v>
      </c>
      <c r="O34" s="2">
        <v>850618.86</v>
      </c>
      <c r="P34" s="2"/>
      <c r="Q34" s="2">
        <v>629687.72</v>
      </c>
      <c r="R34" s="2">
        <v>125937.54399999999</v>
      </c>
      <c r="S34" s="2">
        <v>0</v>
      </c>
      <c r="T34" s="2" t="s">
        <v>175</v>
      </c>
      <c r="U34" s="2">
        <v>333576.61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333576.61</v>
      </c>
      <c r="AI34" s="2">
        <f>Tabla1[[#This Row],[Avance 20%]]+Tabla1[[#This Row],[Pago de Activos Fijos]]+Tabla1[[#This Row],[Total Cubicado]]</f>
        <v>459514.15399999998</v>
      </c>
      <c r="AJ34" s="7" t="s">
        <v>163</v>
      </c>
      <c r="AK34" s="22">
        <f>Tabla1[[#This Row],[TOTAL PAGADO]]/Tabla1[[#This Row],[Monto Adjudicado]]*100%</f>
        <v>0.72974927000323275</v>
      </c>
    </row>
    <row r="35" spans="2:37" x14ac:dyDescent="0.3">
      <c r="B35" s="7" t="s">
        <v>168</v>
      </c>
      <c r="C35" s="7">
        <v>2025</v>
      </c>
      <c r="D35" s="7" t="s">
        <v>73</v>
      </c>
      <c r="E35" s="7">
        <v>16340</v>
      </c>
      <c r="H35" s="7" t="s">
        <v>185</v>
      </c>
      <c r="I35" s="7" t="s">
        <v>49</v>
      </c>
      <c r="J35" s="7" t="s">
        <v>84</v>
      </c>
      <c r="L35" s="7" t="s">
        <v>83</v>
      </c>
      <c r="M35" s="7">
        <v>84</v>
      </c>
      <c r="O35" s="2">
        <v>312637.96000000002</v>
      </c>
      <c r="P35" s="2"/>
      <c r="Q35" s="2">
        <v>319546.39</v>
      </c>
      <c r="R35" s="2">
        <v>63909.278000000006</v>
      </c>
      <c r="S35" s="2">
        <v>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5" s="2">
        <f>Tabla1[[#This Row],[Avance 20%]]+Tabla1[[#This Row],[Pago de Activos Fijos]]+Tabla1[[#This Row],[Total Cubicado]]</f>
        <v>63909.278000000006</v>
      </c>
      <c r="AJ35" s="7" t="s">
        <v>163</v>
      </c>
      <c r="AK35" s="22">
        <f>Tabla1[[#This Row],[TOTAL PAGADO]]/Tabla1[[#This Row],[Monto Adjudicado]]*100%</f>
        <v>0.2</v>
      </c>
    </row>
    <row r="36" spans="2:37" x14ac:dyDescent="0.3">
      <c r="B36" s="7" t="s">
        <v>168</v>
      </c>
      <c r="C36" s="7">
        <v>2025</v>
      </c>
      <c r="D36" s="7" t="s">
        <v>73</v>
      </c>
      <c r="E36" s="7">
        <v>16340</v>
      </c>
      <c r="H36" s="7" t="s">
        <v>185</v>
      </c>
      <c r="I36" s="7" t="s">
        <v>49</v>
      </c>
      <c r="J36" s="7" t="s">
        <v>10</v>
      </c>
      <c r="L36" s="7" t="s">
        <v>103</v>
      </c>
      <c r="M36" s="7">
        <v>72</v>
      </c>
      <c r="O36" s="2">
        <v>324818.65999999997</v>
      </c>
      <c r="P36" s="2"/>
      <c r="Q36" s="2">
        <v>315184.11</v>
      </c>
      <c r="R36" s="2">
        <v>63036.822</v>
      </c>
      <c r="S36" s="2">
        <v>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6" s="2">
        <f>Tabla1[[#This Row],[Avance 20%]]+Tabla1[[#This Row],[Pago de Activos Fijos]]+Tabla1[[#This Row],[Total Cubicado]]</f>
        <v>63036.822</v>
      </c>
      <c r="AJ36" s="7" t="s">
        <v>163</v>
      </c>
      <c r="AK36" s="22">
        <f>Tabla1[[#This Row],[TOTAL PAGADO]]/Tabla1[[#This Row],[Monto Adjudicado]]*100%</f>
        <v>0.2</v>
      </c>
    </row>
    <row r="37" spans="2:37" x14ac:dyDescent="0.3">
      <c r="B37" s="7" t="s">
        <v>168</v>
      </c>
      <c r="C37" s="7">
        <v>2025</v>
      </c>
      <c r="D37" s="7" t="s">
        <v>73</v>
      </c>
      <c r="E37" s="7">
        <v>16340</v>
      </c>
      <c r="H37" s="7" t="s">
        <v>185</v>
      </c>
      <c r="I37" s="7" t="s">
        <v>49</v>
      </c>
      <c r="J37" s="7" t="s">
        <v>10</v>
      </c>
      <c r="L37" s="7" t="s">
        <v>104</v>
      </c>
      <c r="M37" s="7">
        <v>105</v>
      </c>
      <c r="O37" s="2">
        <v>629336.15</v>
      </c>
      <c r="P37" s="2"/>
      <c r="Q37" s="2">
        <v>518507.36</v>
      </c>
      <c r="R37" s="2">
        <v>103701.47200000001</v>
      </c>
      <c r="S37" s="2">
        <v>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7" s="2">
        <f>Tabla1[[#This Row],[Avance 20%]]+Tabla1[[#This Row],[Pago de Activos Fijos]]+Tabla1[[#This Row],[Total Cubicado]]</f>
        <v>103701.47200000001</v>
      </c>
      <c r="AJ37" s="7" t="s">
        <v>163</v>
      </c>
      <c r="AK37" s="22">
        <f>Tabla1[[#This Row],[TOTAL PAGADO]]/Tabla1[[#This Row],[Monto Adjudicado]]*100%</f>
        <v>0.2</v>
      </c>
    </row>
    <row r="38" spans="2:37" x14ac:dyDescent="0.3">
      <c r="B38" s="7" t="s">
        <v>168</v>
      </c>
      <c r="C38" s="7">
        <v>2025</v>
      </c>
      <c r="D38" s="7" t="s">
        <v>73</v>
      </c>
      <c r="E38" s="7">
        <v>16340</v>
      </c>
      <c r="H38" s="7" t="s">
        <v>185</v>
      </c>
      <c r="I38" s="7" t="s">
        <v>49</v>
      </c>
      <c r="J38" s="7" t="s">
        <v>10</v>
      </c>
      <c r="K38" s="7" t="s">
        <v>109</v>
      </c>
      <c r="L38" s="7" t="s">
        <v>105</v>
      </c>
      <c r="M38" s="7">
        <v>45</v>
      </c>
      <c r="O38" s="2">
        <v>1627351.3515180494</v>
      </c>
      <c r="P38" s="2"/>
      <c r="Q38" s="2">
        <v>1497413.99</v>
      </c>
      <c r="R38" s="2">
        <v>299482.79800000001</v>
      </c>
      <c r="S38" s="2">
        <v>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8" s="2">
        <f>Tabla1[[#This Row],[Avance 20%]]+Tabla1[[#This Row],[Pago de Activos Fijos]]+Tabla1[[#This Row],[Total Cubicado]]</f>
        <v>299482.79800000001</v>
      </c>
      <c r="AJ38" s="7" t="s">
        <v>163</v>
      </c>
      <c r="AK38" s="22">
        <f>Tabla1[[#This Row],[TOTAL PAGADO]]/Tabla1[[#This Row],[Monto Adjudicado]]*100%</f>
        <v>0.2</v>
      </c>
    </row>
    <row r="39" spans="2:37" x14ac:dyDescent="0.3">
      <c r="B39" s="7" t="s">
        <v>168</v>
      </c>
      <c r="C39" s="7">
        <v>2025</v>
      </c>
      <c r="D39" s="7" t="s">
        <v>73</v>
      </c>
      <c r="E39" s="7">
        <v>16340</v>
      </c>
      <c r="H39" s="7" t="s">
        <v>185</v>
      </c>
      <c r="I39" s="7" t="s">
        <v>49</v>
      </c>
      <c r="J39" s="7" t="s">
        <v>10</v>
      </c>
      <c r="K39" s="7" t="s">
        <v>109</v>
      </c>
      <c r="L39" s="7" t="s">
        <v>106</v>
      </c>
      <c r="M39" s="7">
        <v>102</v>
      </c>
      <c r="O39" s="2">
        <v>1072948.3634031347</v>
      </c>
      <c r="P39" s="2"/>
      <c r="Q39" s="2">
        <v>1022677.26</v>
      </c>
      <c r="R39" s="2">
        <v>204535.45200000002</v>
      </c>
      <c r="S39" s="2">
        <v>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39" s="2">
        <f>Tabla1[[#This Row],[Avance 20%]]+Tabla1[[#This Row],[Pago de Activos Fijos]]+Tabla1[[#This Row],[Total Cubicado]]</f>
        <v>204535.45200000002</v>
      </c>
      <c r="AJ39" s="7" t="s">
        <v>163</v>
      </c>
      <c r="AK39" s="22">
        <f>Tabla1[[#This Row],[TOTAL PAGADO]]/Tabla1[[#This Row],[Monto Adjudicado]]*100%</f>
        <v>0.2</v>
      </c>
    </row>
    <row r="40" spans="2:37" x14ac:dyDescent="0.3">
      <c r="B40" s="7" t="s">
        <v>168</v>
      </c>
      <c r="C40" s="7">
        <v>2025</v>
      </c>
      <c r="D40" s="7" t="s">
        <v>73</v>
      </c>
      <c r="E40" s="7">
        <v>16340</v>
      </c>
      <c r="H40" s="7" t="s">
        <v>185</v>
      </c>
      <c r="I40" s="7" t="s">
        <v>49</v>
      </c>
      <c r="J40" s="7" t="s">
        <v>10</v>
      </c>
      <c r="K40" s="7" t="s">
        <v>109</v>
      </c>
      <c r="L40" s="7" t="s">
        <v>107</v>
      </c>
      <c r="M40" s="7">
        <v>156</v>
      </c>
      <c r="O40" s="2">
        <v>1076598.1320566735</v>
      </c>
      <c r="P40" s="2"/>
      <c r="Q40" s="2">
        <v>1055057.5</v>
      </c>
      <c r="R40" s="2">
        <v>211011.5</v>
      </c>
      <c r="S40" s="2">
        <v>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0" s="2">
        <f>Tabla1[[#This Row],[Avance 20%]]+Tabla1[[#This Row],[Pago de Activos Fijos]]+Tabla1[[#This Row],[Total Cubicado]]</f>
        <v>211011.5</v>
      </c>
      <c r="AJ40" s="7" t="s">
        <v>163</v>
      </c>
      <c r="AK40" s="22">
        <f>Tabla1[[#This Row],[TOTAL PAGADO]]/Tabla1[[#This Row],[Monto Adjudicado]]*100%</f>
        <v>0.2</v>
      </c>
    </row>
    <row r="41" spans="2:37" x14ac:dyDescent="0.3">
      <c r="B41" s="7" t="s">
        <v>168</v>
      </c>
      <c r="C41" s="7">
        <v>2025</v>
      </c>
      <c r="D41" s="7" t="s">
        <v>73</v>
      </c>
      <c r="E41" s="7">
        <v>16340</v>
      </c>
      <c r="H41" s="7" t="s">
        <v>185</v>
      </c>
      <c r="I41" s="7" t="s">
        <v>49</v>
      </c>
      <c r="J41" s="7" t="s">
        <v>10</v>
      </c>
      <c r="K41" s="7" t="s">
        <v>109</v>
      </c>
      <c r="L41" s="7" t="s">
        <v>108</v>
      </c>
      <c r="M41" s="7">
        <v>72</v>
      </c>
      <c r="O41" s="2">
        <v>834714.98173539888</v>
      </c>
      <c r="P41" s="2"/>
      <c r="Q41" s="2">
        <v>855470.4</v>
      </c>
      <c r="R41" s="2">
        <v>171094.08000000002</v>
      </c>
      <c r="S41" s="2">
        <v>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1" s="2">
        <f>Tabla1[[#This Row],[Avance 20%]]+Tabla1[[#This Row],[Pago de Activos Fijos]]+Tabla1[[#This Row],[Total Cubicado]]</f>
        <v>171094.08000000002</v>
      </c>
      <c r="AJ41" s="7" t="s">
        <v>163</v>
      </c>
      <c r="AK41" s="22">
        <f>Tabla1[[#This Row],[TOTAL PAGADO]]/Tabla1[[#This Row],[Monto Adjudicado]]*100%</f>
        <v>0.2</v>
      </c>
    </row>
    <row r="42" spans="2:37" x14ac:dyDescent="0.3">
      <c r="B42" s="7" t="s">
        <v>168</v>
      </c>
      <c r="C42" s="7">
        <v>2025</v>
      </c>
      <c r="D42" s="7" t="s">
        <v>73</v>
      </c>
      <c r="E42" s="7">
        <v>16340</v>
      </c>
      <c r="H42" s="7" t="s">
        <v>185</v>
      </c>
      <c r="I42" s="7" t="s">
        <v>49</v>
      </c>
      <c r="J42" s="7" t="s">
        <v>10</v>
      </c>
      <c r="K42" s="7" t="s">
        <v>114</v>
      </c>
      <c r="L42" s="7" t="s">
        <v>113</v>
      </c>
      <c r="M42" s="7">
        <v>78</v>
      </c>
      <c r="O42" s="2">
        <v>477077.4</v>
      </c>
      <c r="P42" s="2"/>
      <c r="Q42" s="2">
        <v>406995.03</v>
      </c>
      <c r="R42" s="2">
        <v>81399.006000000008</v>
      </c>
      <c r="S42" s="2">
        <v>0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2" s="2">
        <f>Tabla1[[#This Row],[Avance 20%]]+Tabla1[[#This Row],[Pago de Activos Fijos]]+Tabla1[[#This Row],[Total Cubicado]]</f>
        <v>81399.006000000008</v>
      </c>
      <c r="AJ42" s="7" t="s">
        <v>163</v>
      </c>
      <c r="AK42" s="22">
        <f>Tabla1[[#This Row],[TOTAL PAGADO]]/Tabla1[[#This Row],[Monto Adjudicado]]*100%</f>
        <v>0.2</v>
      </c>
    </row>
    <row r="43" spans="2:37" x14ac:dyDescent="0.3">
      <c r="B43" s="7" t="s">
        <v>168</v>
      </c>
      <c r="C43" s="7">
        <v>2025</v>
      </c>
      <c r="D43" s="7" t="s">
        <v>73</v>
      </c>
      <c r="E43" s="7">
        <v>16340</v>
      </c>
      <c r="H43" s="7" t="s">
        <v>185</v>
      </c>
      <c r="I43" s="7" t="s">
        <v>49</v>
      </c>
      <c r="J43" s="7" t="s">
        <v>10</v>
      </c>
      <c r="K43" s="7" t="s">
        <v>117</v>
      </c>
      <c r="L43" s="7" t="s">
        <v>118</v>
      </c>
      <c r="M43" s="7">
        <v>75</v>
      </c>
      <c r="O43" s="2">
        <v>203011.66</v>
      </c>
      <c r="P43" s="2"/>
      <c r="Q43" s="2">
        <v>249051.6</v>
      </c>
      <c r="R43" s="2">
        <v>49810.320000000007</v>
      </c>
      <c r="S43" s="2">
        <v>0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3" s="2">
        <f>Tabla1[[#This Row],[Avance 20%]]+Tabla1[[#This Row],[Pago de Activos Fijos]]+Tabla1[[#This Row],[Total Cubicado]]</f>
        <v>49810.320000000007</v>
      </c>
      <c r="AJ43" s="7" t="s">
        <v>163</v>
      </c>
      <c r="AK43" s="22">
        <f>Tabla1[[#This Row],[TOTAL PAGADO]]/Tabla1[[#This Row],[Monto Adjudicado]]*100%</f>
        <v>0.2</v>
      </c>
    </row>
    <row r="44" spans="2:37" x14ac:dyDescent="0.3">
      <c r="B44" s="7" t="s">
        <v>168</v>
      </c>
      <c r="C44" s="7">
        <v>2025</v>
      </c>
      <c r="D44" s="7" t="s">
        <v>73</v>
      </c>
      <c r="E44" s="7">
        <v>16340</v>
      </c>
      <c r="H44" s="7" t="s">
        <v>185</v>
      </c>
      <c r="I44" s="7" t="s">
        <v>49</v>
      </c>
      <c r="J44" s="7" t="s">
        <v>10</v>
      </c>
      <c r="K44" s="7" t="s">
        <v>117</v>
      </c>
      <c r="L44" s="7" t="s">
        <v>119</v>
      </c>
      <c r="M44" s="7">
        <v>48</v>
      </c>
      <c r="O44" s="2">
        <v>152258.75</v>
      </c>
      <c r="P44" s="2"/>
      <c r="Q44" s="2">
        <v>194994.46</v>
      </c>
      <c r="R44" s="2">
        <v>38998.892</v>
      </c>
      <c r="S44" s="2">
        <v>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4" s="2">
        <f>Tabla1[[#This Row],[Avance 20%]]+Tabla1[[#This Row],[Pago de Activos Fijos]]+Tabla1[[#This Row],[Total Cubicado]]</f>
        <v>38998.892</v>
      </c>
      <c r="AJ44" s="7" t="s">
        <v>163</v>
      </c>
      <c r="AK44" s="22">
        <f>Tabla1[[#This Row],[TOTAL PAGADO]]/Tabla1[[#This Row],[Monto Adjudicado]]*100%</f>
        <v>0.2</v>
      </c>
    </row>
    <row r="45" spans="2:37" x14ac:dyDescent="0.3">
      <c r="B45" s="7" t="s">
        <v>168</v>
      </c>
      <c r="C45" s="7">
        <v>2025</v>
      </c>
      <c r="D45" s="7" t="s">
        <v>73</v>
      </c>
      <c r="E45" s="7">
        <v>16340</v>
      </c>
      <c r="H45" s="7" t="s">
        <v>185</v>
      </c>
      <c r="I45" s="7" t="s">
        <v>49</v>
      </c>
      <c r="J45" s="7" t="s">
        <v>10</v>
      </c>
      <c r="K45" s="7" t="s">
        <v>117</v>
      </c>
      <c r="L45" s="7" t="s">
        <v>120</v>
      </c>
      <c r="M45" s="7">
        <v>57</v>
      </c>
      <c r="O45" s="2">
        <v>314668.07</v>
      </c>
      <c r="P45" s="2"/>
      <c r="Q45" s="2">
        <v>295365.96000000002</v>
      </c>
      <c r="R45" s="2">
        <v>59073.19200000001</v>
      </c>
      <c r="S45" s="2">
        <v>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5" s="2">
        <f>Tabla1[[#This Row],[Avance 20%]]+Tabla1[[#This Row],[Pago de Activos Fijos]]+Tabla1[[#This Row],[Total Cubicado]]</f>
        <v>59073.19200000001</v>
      </c>
      <c r="AJ45" s="7" t="s">
        <v>163</v>
      </c>
      <c r="AK45" s="22">
        <f>Tabla1[[#This Row],[TOTAL PAGADO]]/Tabla1[[#This Row],[Monto Adjudicado]]*100%</f>
        <v>0.2</v>
      </c>
    </row>
    <row r="46" spans="2:37" x14ac:dyDescent="0.3">
      <c r="B46" s="7" t="s">
        <v>168</v>
      </c>
      <c r="C46" s="7">
        <v>2025</v>
      </c>
      <c r="D46" s="7" t="s">
        <v>73</v>
      </c>
      <c r="E46" s="7">
        <v>16340</v>
      </c>
      <c r="H46" s="7" t="s">
        <v>185</v>
      </c>
      <c r="I46" s="7" t="s">
        <v>49</v>
      </c>
      <c r="J46" s="7" t="s">
        <v>10</v>
      </c>
      <c r="K46" s="7" t="s">
        <v>122</v>
      </c>
      <c r="L46" s="7" t="s">
        <v>123</v>
      </c>
      <c r="M46" s="7">
        <v>108</v>
      </c>
      <c r="O46" s="2">
        <v>507529.15</v>
      </c>
      <c r="P46" s="2"/>
      <c r="Q46" s="2">
        <v>452375.51</v>
      </c>
      <c r="R46" s="2">
        <v>90475.102000000014</v>
      </c>
      <c r="S46" s="2">
        <v>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6" s="2">
        <f>Tabla1[[#This Row],[Avance 20%]]+Tabla1[[#This Row],[Pago de Activos Fijos]]+Tabla1[[#This Row],[Total Cubicado]]</f>
        <v>90475.102000000014</v>
      </c>
      <c r="AJ46" s="7" t="s">
        <v>163</v>
      </c>
      <c r="AK46" s="22">
        <f>Tabla1[[#This Row],[TOTAL PAGADO]]/Tabla1[[#This Row],[Monto Adjudicado]]*100%</f>
        <v>0.20000000000000004</v>
      </c>
    </row>
    <row r="47" spans="2:37" s="15" customFormat="1" x14ac:dyDescent="0.3">
      <c r="B47" s="15" t="s">
        <v>171</v>
      </c>
      <c r="C47" s="15">
        <v>2024</v>
      </c>
      <c r="D47" s="15" t="s">
        <v>73</v>
      </c>
      <c r="E47" s="15">
        <v>16340</v>
      </c>
      <c r="F47" s="7"/>
      <c r="G47" s="7"/>
      <c r="H47" s="7" t="s">
        <v>185</v>
      </c>
      <c r="I47" s="15" t="s">
        <v>128</v>
      </c>
      <c r="J47" s="15" t="s">
        <v>10</v>
      </c>
      <c r="M47" s="15">
        <v>0</v>
      </c>
      <c r="O47" s="16">
        <v>7334878.373999998</v>
      </c>
      <c r="P47" s="16"/>
      <c r="Q47" s="16">
        <v>7334878.373999998</v>
      </c>
      <c r="R47" s="16">
        <v>0</v>
      </c>
      <c r="S47" s="2">
        <v>0</v>
      </c>
      <c r="T47" s="2"/>
      <c r="U47" s="16">
        <v>0</v>
      </c>
      <c r="V47" s="16"/>
      <c r="W47" s="16">
        <v>0</v>
      </c>
      <c r="X47" s="16"/>
      <c r="Y47" s="16">
        <v>0</v>
      </c>
      <c r="Z47" s="16"/>
      <c r="AA47" s="16">
        <v>0</v>
      </c>
      <c r="AB47" s="16" t="s">
        <v>173</v>
      </c>
      <c r="AC47" s="16">
        <v>5599991.6299999999</v>
      </c>
      <c r="AD47" s="16"/>
      <c r="AE47" s="16"/>
      <c r="AF47" s="16"/>
      <c r="AG47" s="16"/>
      <c r="AH47" s="16">
        <f>Tabla1[[#This Row],[Cubicacion 1]]+Tabla1[[#This Row],[Cubicacion 2]]+Tabla1[[#This Row],[Cubicacion 3]]+Tabla1[[#This Row],[Cubicacion 4]]+Tabla1[[#This Row],[Cubicacion 5]]+Tabla1[[#This Row],[Cubicacion 6]]+Tabla1[[#This Row],[Cubicacion 7]]</f>
        <v>5599991.6299999999</v>
      </c>
      <c r="AI47" s="16">
        <f>Tabla1[[#This Row],[Avance 20%]]+Tabla1[[#This Row],[Pago de Activos Fijos]]+Tabla1[[#This Row],[Total Cubicado]]</f>
        <v>5599991.6299999999</v>
      </c>
      <c r="AJ47" s="15" t="s">
        <v>163</v>
      </c>
      <c r="AK47" s="22">
        <f>Tabla1[[#This Row],[TOTAL PAGADO]]/Tabla1[[#This Row],[Monto Adjudicado]]*100%</f>
        <v>0.76347436787095679</v>
      </c>
    </row>
    <row r="48" spans="2:37" x14ac:dyDescent="0.3">
      <c r="B48" s="7" t="s">
        <v>167</v>
      </c>
      <c r="C48" s="7">
        <v>2024</v>
      </c>
      <c r="D48" s="7" t="s">
        <v>131</v>
      </c>
      <c r="E48" s="7">
        <v>16844</v>
      </c>
      <c r="F48" s="7" t="s">
        <v>166</v>
      </c>
      <c r="G48" s="7">
        <v>1</v>
      </c>
      <c r="H48" s="7" t="s">
        <v>185</v>
      </c>
      <c r="I48" s="7" t="s">
        <v>130</v>
      </c>
      <c r="J48" s="7" t="s">
        <v>10</v>
      </c>
      <c r="K48" s="7" t="s">
        <v>124</v>
      </c>
      <c r="M48" s="7">
        <v>0</v>
      </c>
      <c r="O48" s="2">
        <v>7384540.5599999996</v>
      </c>
      <c r="P48" s="2"/>
      <c r="Q48" s="2">
        <v>5907633.6200000001</v>
      </c>
      <c r="R48" s="2">
        <v>0</v>
      </c>
      <c r="S48" s="2">
        <v>0</v>
      </c>
      <c r="T48" s="2" t="s">
        <v>176</v>
      </c>
      <c r="U48" s="2">
        <v>1194993.1299999999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1194993.1299999999</v>
      </c>
      <c r="AI48" s="2">
        <f>Tabla1[[#This Row],[Avance 20%]]+Tabla1[[#This Row],[Pago de Activos Fijos]]+Tabla1[[#This Row],[Total Cubicado]]</f>
        <v>1194993.1299999999</v>
      </c>
      <c r="AJ48" s="7" t="s">
        <v>163</v>
      </c>
      <c r="AK48" s="22">
        <f>Tabla1[[#This Row],[TOTAL PAGADO]]/Tabla1[[#This Row],[Monto Adjudicado]]*100%</f>
        <v>0.20227949241036378</v>
      </c>
    </row>
    <row r="49" spans="1:37" x14ac:dyDescent="0.3">
      <c r="B49" s="7" t="s">
        <v>167</v>
      </c>
      <c r="C49" s="7">
        <v>2024</v>
      </c>
      <c r="D49" s="7" t="s">
        <v>131</v>
      </c>
      <c r="E49" s="7">
        <v>16844</v>
      </c>
      <c r="F49" s="7" t="s">
        <v>133</v>
      </c>
      <c r="G49" s="7">
        <v>3</v>
      </c>
      <c r="H49" s="7" t="s">
        <v>185</v>
      </c>
      <c r="I49" s="7" t="s">
        <v>130</v>
      </c>
      <c r="J49" s="7" t="s">
        <v>10</v>
      </c>
      <c r="K49" s="7" t="s">
        <v>117</v>
      </c>
      <c r="M49" s="7">
        <v>0</v>
      </c>
      <c r="O49" s="2">
        <v>9384540.5600000005</v>
      </c>
      <c r="P49" s="2"/>
      <c r="Q49" s="2">
        <v>7511830.6200000001</v>
      </c>
      <c r="R49" s="2">
        <v>0</v>
      </c>
      <c r="S49" s="2">
        <v>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49" s="2">
        <f>Tabla1[[#This Row],[Avance 20%]]+Tabla1[[#This Row],[Pago de Activos Fijos]]+Tabla1[[#This Row],[Total Cubicado]]</f>
        <v>0</v>
      </c>
      <c r="AJ49" s="7" t="s">
        <v>163</v>
      </c>
      <c r="AK49" s="22">
        <f>Tabla1[[#This Row],[TOTAL PAGADO]]/Tabla1[[#This Row],[Monto Adjudicado]]*100%</f>
        <v>0</v>
      </c>
    </row>
    <row r="50" spans="1:37" x14ac:dyDescent="0.3">
      <c r="B50" s="7" t="s">
        <v>167</v>
      </c>
      <c r="C50" s="7">
        <v>2024</v>
      </c>
      <c r="D50" s="7" t="s">
        <v>131</v>
      </c>
      <c r="E50" s="7">
        <v>16844</v>
      </c>
      <c r="F50" s="7" t="s">
        <v>132</v>
      </c>
      <c r="G50" s="7">
        <v>2</v>
      </c>
      <c r="H50" s="7" t="s">
        <v>185</v>
      </c>
      <c r="I50" s="7" t="s">
        <v>130</v>
      </c>
      <c r="J50" s="7" t="s">
        <v>50</v>
      </c>
      <c r="K50" s="7" t="s">
        <v>51</v>
      </c>
      <c r="M50" s="7">
        <v>0</v>
      </c>
      <c r="O50" s="2">
        <v>9634540.5600000005</v>
      </c>
      <c r="P50" s="2"/>
      <c r="Q50" s="2">
        <v>7707477.5800000001</v>
      </c>
      <c r="R50" s="2">
        <v>0</v>
      </c>
      <c r="S50" s="2">
        <v>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0" s="2">
        <f>Tabla1[[#This Row],[Avance 20%]]+Tabla1[[#This Row],[Pago de Activos Fijos]]+Tabla1[[#This Row],[Total Cubicado]]</f>
        <v>0</v>
      </c>
      <c r="AJ50" s="7" t="s">
        <v>163</v>
      </c>
      <c r="AK50" s="22">
        <f>Tabla1[[#This Row],[TOTAL PAGADO]]/Tabla1[[#This Row],[Monto Adjudicado]]*100%</f>
        <v>0</v>
      </c>
    </row>
    <row r="51" spans="1:37" x14ac:dyDescent="0.3">
      <c r="B51" s="7" t="s">
        <v>157</v>
      </c>
      <c r="C51" s="7">
        <v>2026</v>
      </c>
      <c r="D51" s="7" t="s">
        <v>156</v>
      </c>
      <c r="E51" s="7">
        <v>16879</v>
      </c>
      <c r="F51" s="7" t="s">
        <v>132</v>
      </c>
      <c r="G51" s="7">
        <v>1</v>
      </c>
      <c r="H51" s="7" t="s">
        <v>185</v>
      </c>
      <c r="I51" s="7" t="s">
        <v>59</v>
      </c>
      <c r="J51" s="7" t="s">
        <v>50</v>
      </c>
      <c r="L51" s="7" t="s">
        <v>61</v>
      </c>
      <c r="M51" s="7">
        <v>1000</v>
      </c>
      <c r="O51" s="2">
        <v>4561600.7837957228</v>
      </c>
      <c r="P51" s="2"/>
      <c r="Q51" s="2">
        <v>4105445.18</v>
      </c>
      <c r="R51" s="2">
        <v>0</v>
      </c>
      <c r="S51" s="2">
        <v>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1" s="2">
        <f>Tabla1[[#This Row],[Avance 20%]]+Tabla1[[#This Row],[Pago de Activos Fijos]]+Tabla1[[#This Row],[Total Cubicado]]</f>
        <v>0</v>
      </c>
      <c r="AJ51" s="7" t="s">
        <v>164</v>
      </c>
      <c r="AK51" s="22">
        <f>Tabla1[[#This Row],[TOTAL PAGADO]]/Tabla1[[#This Row],[Monto Adjudicado]]*100%</f>
        <v>0</v>
      </c>
    </row>
    <row r="52" spans="1:37" x14ac:dyDescent="0.3">
      <c r="B52" s="7" t="s">
        <v>157</v>
      </c>
      <c r="C52" s="7">
        <v>2026</v>
      </c>
      <c r="D52" s="7" t="s">
        <v>156</v>
      </c>
      <c r="E52" s="7">
        <v>16879</v>
      </c>
      <c r="F52" s="7" t="s">
        <v>132</v>
      </c>
      <c r="G52" s="7">
        <v>2</v>
      </c>
      <c r="H52" s="7" t="s">
        <v>185</v>
      </c>
      <c r="I52" s="7" t="s">
        <v>60</v>
      </c>
      <c r="J52" s="7" t="s">
        <v>50</v>
      </c>
      <c r="L52" s="7" t="s">
        <v>61</v>
      </c>
      <c r="M52" s="7">
        <v>1000</v>
      </c>
      <c r="O52" s="2">
        <v>4561600.7837957228</v>
      </c>
      <c r="P52" s="2"/>
      <c r="Q52" s="2">
        <v>4105445.18</v>
      </c>
      <c r="R52" s="2">
        <v>0</v>
      </c>
      <c r="S52" s="2">
        <v>0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2" s="2">
        <f>Tabla1[[#This Row],[Avance 20%]]+Tabla1[[#This Row],[Pago de Activos Fijos]]+Tabla1[[#This Row],[Total Cubicado]]</f>
        <v>0</v>
      </c>
      <c r="AJ52" s="7" t="s">
        <v>164</v>
      </c>
      <c r="AK52" s="22">
        <f>Tabla1[[#This Row],[TOTAL PAGADO]]/Tabla1[[#This Row],[Monto Adjudicado]]*100%</f>
        <v>0</v>
      </c>
    </row>
    <row r="53" spans="1:37" x14ac:dyDescent="0.3">
      <c r="A53" s="7" t="s">
        <v>33</v>
      </c>
      <c r="B53" s="7" t="s">
        <v>42</v>
      </c>
      <c r="C53" s="7">
        <v>2026</v>
      </c>
      <c r="D53" s="7" t="s">
        <v>46</v>
      </c>
      <c r="E53" s="7">
        <v>16340</v>
      </c>
      <c r="H53" s="7" t="s">
        <v>184</v>
      </c>
      <c r="I53" s="7" t="s">
        <v>34</v>
      </c>
      <c r="J53" s="7" t="s">
        <v>10</v>
      </c>
      <c r="O53" s="8">
        <v>2390377.21</v>
      </c>
      <c r="P53" s="8"/>
      <c r="Q53" s="2">
        <v>1085600</v>
      </c>
      <c r="R53" s="2">
        <v>0</v>
      </c>
      <c r="S53" s="2">
        <v>0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3" s="2">
        <f>Tabla1[[#This Row],[Avance 20%]]+Tabla1[[#This Row],[Pago de Activos Fijos]]+Tabla1[[#This Row],[Total Cubicado]]</f>
        <v>0</v>
      </c>
      <c r="AJ53" s="7" t="s">
        <v>38</v>
      </c>
      <c r="AK53" s="22">
        <f>Tabla1[[#This Row],[TOTAL PAGADO]]/Tabla1[[#This Row],[Monto Adjudicado]]*100%</f>
        <v>0</v>
      </c>
    </row>
    <row r="54" spans="1:37" x14ac:dyDescent="0.3">
      <c r="A54" s="7" t="s">
        <v>19</v>
      </c>
      <c r="B54" s="7" t="s">
        <v>43</v>
      </c>
      <c r="C54" s="7">
        <v>2026</v>
      </c>
      <c r="D54" s="7" t="s">
        <v>45</v>
      </c>
      <c r="E54" s="7">
        <v>16340</v>
      </c>
      <c r="H54" s="7" t="s">
        <v>184</v>
      </c>
      <c r="I54" s="7" t="s">
        <v>20</v>
      </c>
      <c r="J54" s="7" t="s">
        <v>10</v>
      </c>
      <c r="O54" s="8">
        <v>666100</v>
      </c>
      <c r="P54" s="8"/>
      <c r="Q54" s="2">
        <v>407599.93</v>
      </c>
      <c r="R54" s="2">
        <v>0</v>
      </c>
      <c r="S54" s="2">
        <v>0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4" s="2">
        <f>Tabla1[[#This Row],[Avance 20%]]+Tabla1[[#This Row],[Pago de Activos Fijos]]+Tabla1[[#This Row],[Total Cubicado]]</f>
        <v>0</v>
      </c>
      <c r="AJ54" s="7" t="s">
        <v>38</v>
      </c>
      <c r="AK54" s="22">
        <f>Tabla1[[#This Row],[TOTAL PAGADO]]/Tabla1[[#This Row],[Monto Adjudicado]]*100%</f>
        <v>0</v>
      </c>
    </row>
    <row r="55" spans="1:37" x14ac:dyDescent="0.3">
      <c r="B55" s="7" t="s">
        <v>169</v>
      </c>
      <c r="C55" s="7">
        <v>2025</v>
      </c>
      <c r="D55" s="7" t="s">
        <v>78</v>
      </c>
      <c r="E55" s="7">
        <v>16879</v>
      </c>
      <c r="H55" s="7" t="s">
        <v>185</v>
      </c>
      <c r="I55" s="7" t="s">
        <v>74</v>
      </c>
      <c r="J55" s="7" t="s">
        <v>62</v>
      </c>
      <c r="L55" s="7" t="s">
        <v>65</v>
      </c>
      <c r="M55" s="7">
        <v>36</v>
      </c>
      <c r="O55" s="2">
        <v>3419652.1987980008</v>
      </c>
      <c r="P55" s="2"/>
      <c r="Q55" s="2">
        <v>3077688.25</v>
      </c>
      <c r="R55" s="2">
        <v>615537.65</v>
      </c>
      <c r="S55" s="2">
        <v>0</v>
      </c>
      <c r="T55" s="2" t="s">
        <v>175</v>
      </c>
      <c r="U55" s="2">
        <v>128472.95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128472.95</v>
      </c>
      <c r="AI55" s="2">
        <f>Tabla1[[#This Row],[Avance 20%]]+Tabla1[[#This Row],[Pago de Activos Fijos]]+Tabla1[[#This Row],[Total Cubicado]]</f>
        <v>744010.6</v>
      </c>
      <c r="AJ55" s="7" t="s">
        <v>163</v>
      </c>
      <c r="AK55" s="22">
        <f>Tabla1[[#This Row],[TOTAL PAGADO]]/Tabla1[[#This Row],[Monto Adjudicado]]*100%</f>
        <v>0.241743327967022</v>
      </c>
    </row>
    <row r="56" spans="1:37" x14ac:dyDescent="0.3">
      <c r="B56" s="7" t="s">
        <v>169</v>
      </c>
      <c r="C56" s="7">
        <v>2025</v>
      </c>
      <c r="D56" s="7" t="s">
        <v>78</v>
      </c>
      <c r="E56" s="7">
        <v>16879</v>
      </c>
      <c r="H56" s="7" t="s">
        <v>185</v>
      </c>
      <c r="I56" s="7" t="s">
        <v>75</v>
      </c>
      <c r="J56" s="7" t="s">
        <v>62</v>
      </c>
      <c r="L56" s="7" t="s">
        <v>76</v>
      </c>
      <c r="M56" s="7">
        <v>390</v>
      </c>
      <c r="O56" s="2">
        <v>2977703.4487980008</v>
      </c>
      <c r="P56" s="2"/>
      <c r="Q56" s="2">
        <v>2800162.26</v>
      </c>
      <c r="R56" s="2">
        <v>560032.45199999993</v>
      </c>
      <c r="S56" s="2">
        <v>0</v>
      </c>
      <c r="T56" s="2" t="s">
        <v>175</v>
      </c>
      <c r="U56" s="2">
        <v>457422.03</v>
      </c>
      <c r="V56" s="2"/>
      <c r="W56" s="2">
        <v>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457422.03</v>
      </c>
      <c r="AI56" s="2">
        <f>Tabla1[[#This Row],[Avance 20%]]+Tabla1[[#This Row],[Pago de Activos Fijos]]+Tabla1[[#This Row],[Total Cubicado]]</f>
        <v>1017454.482</v>
      </c>
      <c r="AJ56" s="7" t="s">
        <v>163</v>
      </c>
      <c r="AK56" s="22">
        <f>Tabla1[[#This Row],[TOTAL PAGADO]]/Tabla1[[#This Row],[Monto Adjudicado]]*100%</f>
        <v>0.36335554426049582</v>
      </c>
    </row>
    <row r="57" spans="1:37" x14ac:dyDescent="0.3">
      <c r="B57" s="7" t="s">
        <v>169</v>
      </c>
      <c r="C57" s="7">
        <v>2025</v>
      </c>
      <c r="D57" s="7" t="s">
        <v>78</v>
      </c>
      <c r="E57" s="7">
        <v>16879</v>
      </c>
      <c r="H57" s="7" t="s">
        <v>185</v>
      </c>
      <c r="I57" s="7" t="s">
        <v>75</v>
      </c>
      <c r="J57" s="7" t="s">
        <v>62</v>
      </c>
      <c r="L57" s="7" t="s">
        <v>67</v>
      </c>
      <c r="M57" s="7">
        <v>600</v>
      </c>
      <c r="O57" s="2">
        <v>2977703.4487980008</v>
      </c>
      <c r="P57" s="2"/>
      <c r="Q57" s="2">
        <v>2800162.26</v>
      </c>
      <c r="R57" s="2">
        <v>560032.45199999993</v>
      </c>
      <c r="S57" s="2">
        <v>0</v>
      </c>
      <c r="T57" s="2" t="s">
        <v>175</v>
      </c>
      <c r="U57" s="2">
        <v>577719.63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577719.63</v>
      </c>
      <c r="AI57" s="2">
        <f>Tabla1[[#This Row],[Avance 20%]]+Tabla1[[#This Row],[Pago de Activos Fijos]]+Tabla1[[#This Row],[Total Cubicado]]</f>
        <v>1137752.0819999999</v>
      </c>
      <c r="AJ57" s="7" t="s">
        <v>163</v>
      </c>
      <c r="AK57" s="22">
        <f>Tabla1[[#This Row],[TOTAL PAGADO]]/Tabla1[[#This Row],[Monto Adjudicado]]*100%</f>
        <v>0.40631648324551023</v>
      </c>
    </row>
    <row r="58" spans="1:37" x14ac:dyDescent="0.3">
      <c r="B58" s="7" t="s">
        <v>169</v>
      </c>
      <c r="C58" s="7">
        <v>2025</v>
      </c>
      <c r="D58" s="7" t="s">
        <v>78</v>
      </c>
      <c r="E58" s="7">
        <v>16879</v>
      </c>
      <c r="H58" s="7" t="s">
        <v>185</v>
      </c>
      <c r="I58" s="7" t="s">
        <v>75</v>
      </c>
      <c r="J58" s="7" t="s">
        <v>62</v>
      </c>
      <c r="L58" s="7" t="s">
        <v>63</v>
      </c>
      <c r="M58" s="7">
        <v>2010</v>
      </c>
      <c r="O58" s="2">
        <v>2977703.4487980008</v>
      </c>
      <c r="P58" s="2"/>
      <c r="Q58" s="2">
        <v>2800162.26</v>
      </c>
      <c r="R58" s="2">
        <v>560032.45199999993</v>
      </c>
      <c r="S58" s="2">
        <v>0</v>
      </c>
      <c r="T58" s="2" t="s">
        <v>175</v>
      </c>
      <c r="U58" s="2">
        <v>577719.63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577719.63</v>
      </c>
      <c r="AI58" s="2">
        <f>Tabla1[[#This Row],[Avance 20%]]+Tabla1[[#This Row],[Pago de Activos Fijos]]+Tabla1[[#This Row],[Total Cubicado]]</f>
        <v>1137752.0819999999</v>
      </c>
      <c r="AJ58" s="7" t="s">
        <v>163</v>
      </c>
      <c r="AK58" s="22">
        <f>Tabla1[[#This Row],[TOTAL PAGADO]]/Tabla1[[#This Row],[Monto Adjudicado]]*100%</f>
        <v>0.40631648324551023</v>
      </c>
    </row>
    <row r="59" spans="1:37" x14ac:dyDescent="0.3">
      <c r="B59" s="7" t="s">
        <v>169</v>
      </c>
      <c r="C59" s="7">
        <v>2025</v>
      </c>
      <c r="D59" s="7" t="s">
        <v>78</v>
      </c>
      <c r="E59" s="7">
        <v>16879</v>
      </c>
      <c r="H59" s="7" t="s">
        <v>185</v>
      </c>
      <c r="I59" s="7" t="s">
        <v>75</v>
      </c>
      <c r="J59" s="7" t="s">
        <v>62</v>
      </c>
      <c r="L59" s="7" t="s">
        <v>77</v>
      </c>
      <c r="M59" s="7">
        <v>315</v>
      </c>
      <c r="O59" s="2">
        <v>3148252.1987980008</v>
      </c>
      <c r="P59" s="2"/>
      <c r="Q59" s="2">
        <v>2898102.26</v>
      </c>
      <c r="R59" s="2">
        <v>579620.45199999993</v>
      </c>
      <c r="S59" s="2">
        <v>0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59" s="2">
        <f>Tabla1[[#This Row],[Avance 20%]]+Tabla1[[#This Row],[Pago de Activos Fijos]]+Tabla1[[#This Row],[Total Cubicado]]</f>
        <v>579620.45199999993</v>
      </c>
      <c r="AJ59" s="7" t="s">
        <v>163</v>
      </c>
      <c r="AK59" s="22">
        <f>Tabla1[[#This Row],[TOTAL PAGADO]]/Tabla1[[#This Row],[Monto Adjudicado]]*100%</f>
        <v>0.19999999999999998</v>
      </c>
    </row>
    <row r="60" spans="1:37" x14ac:dyDescent="0.3">
      <c r="B60" s="7" t="s">
        <v>169</v>
      </c>
      <c r="C60" s="7">
        <v>2025</v>
      </c>
      <c r="D60" s="7" t="s">
        <v>78</v>
      </c>
      <c r="E60" s="7">
        <v>16879</v>
      </c>
      <c r="H60" s="7" t="s">
        <v>185</v>
      </c>
      <c r="I60" s="7" t="s">
        <v>75</v>
      </c>
      <c r="J60" s="7" t="s">
        <v>84</v>
      </c>
      <c r="L60" s="7" t="s">
        <v>86</v>
      </c>
      <c r="M60" s="7">
        <v>144</v>
      </c>
      <c r="O60" s="2">
        <v>3446792.1987980008</v>
      </c>
      <c r="P60" s="2"/>
      <c r="Q60" s="2">
        <v>3102360.26</v>
      </c>
      <c r="R60" s="2">
        <v>620472.05200000003</v>
      </c>
      <c r="S60" s="2">
        <v>0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0" s="2">
        <f>Tabla1[[#This Row],[Avance 20%]]+Tabla1[[#This Row],[Pago de Activos Fijos]]+Tabla1[[#This Row],[Total Cubicado]]</f>
        <v>620472.05200000003</v>
      </c>
      <c r="AJ60" s="7" t="s">
        <v>163</v>
      </c>
      <c r="AK60" s="22">
        <f>Tabla1[[#This Row],[TOTAL PAGADO]]/Tabla1[[#This Row],[Monto Adjudicado]]*100%</f>
        <v>0.2</v>
      </c>
    </row>
    <row r="61" spans="1:37" x14ac:dyDescent="0.3">
      <c r="B61" s="7" t="s">
        <v>169</v>
      </c>
      <c r="C61" s="7">
        <v>2025</v>
      </c>
      <c r="D61" s="7" t="s">
        <v>78</v>
      </c>
      <c r="E61" s="7">
        <v>16879</v>
      </c>
      <c r="H61" s="7" t="s">
        <v>185</v>
      </c>
      <c r="I61" s="7" t="s">
        <v>75</v>
      </c>
      <c r="J61" s="7" t="s">
        <v>84</v>
      </c>
      <c r="L61" s="7" t="s">
        <v>79</v>
      </c>
      <c r="M61" s="7">
        <v>129</v>
      </c>
      <c r="O61" s="2">
        <v>3134894.9754646677</v>
      </c>
      <c r="P61" s="2"/>
      <c r="Q61" s="2">
        <v>2970398.26</v>
      </c>
      <c r="R61" s="2">
        <v>594079.652</v>
      </c>
      <c r="S61" s="2">
        <v>0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1" s="2">
        <f>Tabla1[[#This Row],[Avance 20%]]+Tabla1[[#This Row],[Pago de Activos Fijos]]+Tabla1[[#This Row],[Total Cubicado]]</f>
        <v>594079.652</v>
      </c>
      <c r="AJ61" s="7" t="s">
        <v>163</v>
      </c>
      <c r="AK61" s="22">
        <f>Tabla1[[#This Row],[TOTAL PAGADO]]/Tabla1[[#This Row],[Monto Adjudicado]]*100%</f>
        <v>0.2</v>
      </c>
    </row>
    <row r="62" spans="1:37" x14ac:dyDescent="0.3">
      <c r="B62" s="7" t="s">
        <v>169</v>
      </c>
      <c r="C62" s="7">
        <v>2025</v>
      </c>
      <c r="D62" s="7" t="s">
        <v>78</v>
      </c>
      <c r="E62" s="7">
        <v>16879</v>
      </c>
      <c r="H62" s="7" t="s">
        <v>185</v>
      </c>
      <c r="I62" s="7" t="s">
        <v>75</v>
      </c>
      <c r="J62" s="7" t="s">
        <v>84</v>
      </c>
      <c r="L62" s="7" t="s">
        <v>87</v>
      </c>
      <c r="M62" s="7">
        <v>135</v>
      </c>
      <c r="O62" s="2">
        <v>3134894.9754646677</v>
      </c>
      <c r="P62" s="2"/>
      <c r="Q62" s="2">
        <v>2970398.26</v>
      </c>
      <c r="R62" s="2">
        <v>594079.652</v>
      </c>
      <c r="S62" s="2">
        <v>0</v>
      </c>
      <c r="T62" s="2" t="s">
        <v>175</v>
      </c>
      <c r="U62" s="2">
        <v>216826.81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216826.81</v>
      </c>
      <c r="AI62" s="2">
        <f>Tabla1[[#This Row],[Avance 20%]]+Tabla1[[#This Row],[Pago de Activos Fijos]]+Tabla1[[#This Row],[Total Cubicado]]</f>
        <v>810906.46200000006</v>
      </c>
      <c r="AJ62" s="7" t="s">
        <v>163</v>
      </c>
      <c r="AK62" s="22">
        <f>Tabla1[[#This Row],[TOTAL PAGADO]]/Tabla1[[#This Row],[Monto Adjudicado]]*100%</f>
        <v>0.27299587160409933</v>
      </c>
    </row>
    <row r="63" spans="1:37" x14ac:dyDescent="0.3">
      <c r="B63" s="7" t="s">
        <v>169</v>
      </c>
      <c r="C63" s="7">
        <v>2025</v>
      </c>
      <c r="D63" s="7" t="s">
        <v>78</v>
      </c>
      <c r="E63" s="7">
        <v>16879</v>
      </c>
      <c r="H63" s="7" t="s">
        <v>185</v>
      </c>
      <c r="I63" s="7" t="s">
        <v>75</v>
      </c>
      <c r="J63" s="7" t="s">
        <v>84</v>
      </c>
      <c r="L63" s="7" t="s">
        <v>88</v>
      </c>
      <c r="M63" s="7">
        <v>150</v>
      </c>
      <c r="O63" s="2">
        <v>3134894.9754646677</v>
      </c>
      <c r="P63" s="2"/>
      <c r="Q63" s="2">
        <v>2970398.26</v>
      </c>
      <c r="R63" s="2">
        <v>594079.652</v>
      </c>
      <c r="S63" s="2">
        <v>0</v>
      </c>
      <c r="T63" s="2" t="s">
        <v>175</v>
      </c>
      <c r="U63" s="2">
        <v>243877.28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243877.28</v>
      </c>
      <c r="AI63" s="2">
        <f>Tabla1[[#This Row],[Avance 20%]]+Tabla1[[#This Row],[Pago de Activos Fijos]]+Tabla1[[#This Row],[Total Cubicado]]</f>
        <v>837956.93200000003</v>
      </c>
      <c r="AJ63" s="7" t="s">
        <v>163</v>
      </c>
      <c r="AK63" s="22">
        <f>Tabla1[[#This Row],[TOTAL PAGADO]]/Tabla1[[#This Row],[Monto Adjudicado]]*100%</f>
        <v>0.28210255280717816</v>
      </c>
    </row>
    <row r="64" spans="1:37" x14ac:dyDescent="0.3">
      <c r="B64" s="7" t="s">
        <v>169</v>
      </c>
      <c r="C64" s="7">
        <v>2025</v>
      </c>
      <c r="D64" s="7" t="s">
        <v>78</v>
      </c>
      <c r="E64" s="7">
        <v>16879</v>
      </c>
      <c r="H64" s="7" t="s">
        <v>185</v>
      </c>
      <c r="I64" s="7" t="s">
        <v>75</v>
      </c>
      <c r="J64" s="7" t="s">
        <v>10</v>
      </c>
      <c r="K64" s="7" t="s">
        <v>109</v>
      </c>
      <c r="L64" s="7" t="s">
        <v>110</v>
      </c>
      <c r="M64" s="7">
        <v>45</v>
      </c>
      <c r="O64" s="2">
        <v>2977703.4487980008</v>
      </c>
      <c r="P64" s="2"/>
      <c r="Q64" s="2">
        <v>2820458.25</v>
      </c>
      <c r="R64" s="2">
        <v>564091.65</v>
      </c>
      <c r="S64" s="2">
        <v>0</v>
      </c>
      <c r="T64" s="2" t="s">
        <v>176</v>
      </c>
      <c r="U64" s="2">
        <v>487496.43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487496.43</v>
      </c>
      <c r="AI64" s="2">
        <f>Tabla1[[#This Row],[Avance 20%]]+Tabla1[[#This Row],[Pago de Activos Fijos]]+Tabla1[[#This Row],[Total Cubicado]]</f>
        <v>1051588.08</v>
      </c>
      <c r="AJ64" s="7" t="s">
        <v>163</v>
      </c>
      <c r="AK64" s="22">
        <f>Tabla1[[#This Row],[TOTAL PAGADO]]/Tabla1[[#This Row],[Monto Adjudicado]]*100%</f>
        <v>0.37284298748261918</v>
      </c>
    </row>
    <row r="65" spans="2:37" x14ac:dyDescent="0.3">
      <c r="B65" s="7" t="s">
        <v>169</v>
      </c>
      <c r="C65" s="7">
        <v>2025</v>
      </c>
      <c r="D65" s="7" t="s">
        <v>78</v>
      </c>
      <c r="E65" s="7">
        <v>16879</v>
      </c>
      <c r="H65" s="7" t="s">
        <v>185</v>
      </c>
      <c r="I65" s="7" t="s">
        <v>75</v>
      </c>
      <c r="J65" s="7" t="s">
        <v>10</v>
      </c>
      <c r="K65" s="7" t="s">
        <v>109</v>
      </c>
      <c r="L65" s="7" t="s">
        <v>111</v>
      </c>
      <c r="M65" s="7">
        <v>102</v>
      </c>
      <c r="O65" s="2">
        <v>2977703.4487980008</v>
      </c>
      <c r="P65" s="2"/>
      <c r="Q65" s="2">
        <v>2860148.26</v>
      </c>
      <c r="R65" s="2">
        <v>572029.652</v>
      </c>
      <c r="S65" s="2">
        <v>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5" s="2">
        <f>Tabla1[[#This Row],[Avance 20%]]+Tabla1[[#This Row],[Pago de Activos Fijos]]+Tabla1[[#This Row],[Total Cubicado]]</f>
        <v>572029.652</v>
      </c>
      <c r="AJ65" s="7" t="s">
        <v>163</v>
      </c>
      <c r="AK65" s="22">
        <f>Tabla1[[#This Row],[TOTAL PAGADO]]/Tabla1[[#This Row],[Monto Adjudicado]]*100%</f>
        <v>0.2</v>
      </c>
    </row>
    <row r="66" spans="2:37" x14ac:dyDescent="0.3">
      <c r="B66" s="7" t="s">
        <v>169</v>
      </c>
      <c r="C66" s="7">
        <v>2025</v>
      </c>
      <c r="D66" s="7" t="s">
        <v>78</v>
      </c>
      <c r="E66" s="7">
        <v>16879</v>
      </c>
      <c r="H66" s="7" t="s">
        <v>185</v>
      </c>
      <c r="I66" s="7" t="s">
        <v>75</v>
      </c>
      <c r="J66" s="7" t="s">
        <v>10</v>
      </c>
      <c r="K66" s="7" t="s">
        <v>109</v>
      </c>
      <c r="L66" s="7" t="s">
        <v>108</v>
      </c>
      <c r="M66" s="7">
        <v>72</v>
      </c>
      <c r="O66" s="2">
        <v>3256812.1987980008</v>
      </c>
      <c r="P66" s="2"/>
      <c r="Q66" s="2">
        <v>2980230.26</v>
      </c>
      <c r="R66" s="2">
        <v>596046.05200000003</v>
      </c>
      <c r="S66" s="2">
        <v>0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6" s="2">
        <f>Tabla1[[#This Row],[Avance 20%]]+Tabla1[[#This Row],[Pago de Activos Fijos]]+Tabla1[[#This Row],[Total Cubicado]]</f>
        <v>596046.05200000003</v>
      </c>
      <c r="AJ66" s="7" t="s">
        <v>163</v>
      </c>
      <c r="AK66" s="22">
        <f>Tabla1[[#This Row],[TOTAL PAGADO]]/Tabla1[[#This Row],[Monto Adjudicado]]*100%</f>
        <v>0.2</v>
      </c>
    </row>
    <row r="67" spans="2:37" x14ac:dyDescent="0.3">
      <c r="B67" s="7" t="s">
        <v>169</v>
      </c>
      <c r="C67" s="7">
        <v>2025</v>
      </c>
      <c r="D67" s="7" t="s">
        <v>78</v>
      </c>
      <c r="E67" s="7">
        <v>16879</v>
      </c>
      <c r="H67" s="7" t="s">
        <v>185</v>
      </c>
      <c r="I67" s="7" t="s">
        <v>75</v>
      </c>
      <c r="J67" s="7" t="s">
        <v>10</v>
      </c>
      <c r="K67" s="7" t="s">
        <v>109</v>
      </c>
      <c r="L67" s="7" t="s">
        <v>112</v>
      </c>
      <c r="M67" s="7">
        <v>180</v>
      </c>
      <c r="O67" s="2">
        <v>3446792.1987980008</v>
      </c>
      <c r="P67" s="2"/>
      <c r="Q67" s="2">
        <v>3102360.26</v>
      </c>
      <c r="R67" s="2">
        <v>620472.05200000003</v>
      </c>
      <c r="S67" s="2">
        <v>0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7" s="2">
        <f>Tabla1[[#This Row],[Avance 20%]]+Tabla1[[#This Row],[Pago de Activos Fijos]]+Tabla1[[#This Row],[Total Cubicado]]</f>
        <v>620472.05200000003</v>
      </c>
      <c r="AJ67" s="7" t="s">
        <v>163</v>
      </c>
      <c r="AK67" s="22">
        <f>Tabla1[[#This Row],[TOTAL PAGADO]]/Tabla1[[#This Row],[Monto Adjudicado]]*100%</f>
        <v>0.2</v>
      </c>
    </row>
    <row r="68" spans="2:37" x14ac:dyDescent="0.3">
      <c r="B68" s="7" t="s">
        <v>169</v>
      </c>
      <c r="C68" s="7">
        <v>2025</v>
      </c>
      <c r="D68" s="7" t="s">
        <v>78</v>
      </c>
      <c r="E68" s="7">
        <v>16879</v>
      </c>
      <c r="H68" s="7" t="s">
        <v>185</v>
      </c>
      <c r="I68" s="7" t="s">
        <v>75</v>
      </c>
      <c r="J68" s="7" t="s">
        <v>10</v>
      </c>
      <c r="K68" s="7" t="s">
        <v>109</v>
      </c>
      <c r="L68" s="7" t="s">
        <v>105</v>
      </c>
      <c r="M68" s="7">
        <v>150</v>
      </c>
      <c r="O68" s="2">
        <v>2977703.4487980008</v>
      </c>
      <c r="P68" s="2"/>
      <c r="Q68" s="2">
        <v>2820458.26</v>
      </c>
      <c r="R68" s="2">
        <v>564091.652</v>
      </c>
      <c r="S68" s="2">
        <v>0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68" s="2">
        <f>Tabla1[[#This Row],[Avance 20%]]+Tabla1[[#This Row],[Pago de Activos Fijos]]+Tabla1[[#This Row],[Total Cubicado]]</f>
        <v>564091.652</v>
      </c>
      <c r="AJ68" s="7" t="s">
        <v>163</v>
      </c>
      <c r="AK68" s="22">
        <f>Tabla1[[#This Row],[TOTAL PAGADO]]/Tabla1[[#This Row],[Monto Adjudicado]]*100%</f>
        <v>0.2</v>
      </c>
    </row>
    <row r="69" spans="2:37" x14ac:dyDescent="0.3">
      <c r="B69" s="7" t="s">
        <v>169</v>
      </c>
      <c r="C69" s="7">
        <v>2025</v>
      </c>
      <c r="D69" s="7" t="s">
        <v>78</v>
      </c>
      <c r="E69" s="7">
        <v>16879</v>
      </c>
      <c r="H69" s="7" t="s">
        <v>185</v>
      </c>
      <c r="I69" s="7" t="s">
        <v>75</v>
      </c>
      <c r="J69" s="7" t="s">
        <v>10</v>
      </c>
      <c r="K69" s="7" t="s">
        <v>114</v>
      </c>
      <c r="L69" s="7" t="s">
        <v>116</v>
      </c>
      <c r="M69" s="7">
        <v>450</v>
      </c>
      <c r="O69" s="2">
        <v>2977703.4487980008</v>
      </c>
      <c r="P69" s="2"/>
      <c r="Q69" s="2">
        <v>2756148.26</v>
      </c>
      <c r="R69" s="2">
        <v>551229.652</v>
      </c>
      <c r="S69" s="2">
        <v>0</v>
      </c>
      <c r="T69" s="2" t="s">
        <v>175</v>
      </c>
      <c r="U69" s="2">
        <v>655913.07999999996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655913.07999999996</v>
      </c>
      <c r="AI69" s="2">
        <f>Tabla1[[#This Row],[Avance 20%]]+Tabla1[[#This Row],[Pago de Activos Fijos]]+Tabla1[[#This Row],[Total Cubicado]]</f>
        <v>1207142.7319999998</v>
      </c>
      <c r="AJ69" s="7" t="s">
        <v>163</v>
      </c>
      <c r="AK69" s="22">
        <f>Tabla1[[#This Row],[TOTAL PAGADO]]/Tabla1[[#This Row],[Monto Adjudicado]]*100%</f>
        <v>0.43798178404234317</v>
      </c>
    </row>
    <row r="70" spans="2:37" x14ac:dyDescent="0.3">
      <c r="B70" s="7" t="s">
        <v>169</v>
      </c>
      <c r="C70" s="7">
        <v>2025</v>
      </c>
      <c r="D70" s="7" t="s">
        <v>78</v>
      </c>
      <c r="E70" s="7">
        <v>16879</v>
      </c>
      <c r="H70" s="7" t="s">
        <v>185</v>
      </c>
      <c r="I70" s="7" t="s">
        <v>75</v>
      </c>
      <c r="J70" s="7" t="s">
        <v>10</v>
      </c>
      <c r="K70" s="7" t="s">
        <v>117</v>
      </c>
      <c r="L70" s="7" t="s">
        <v>121</v>
      </c>
      <c r="M70" s="7">
        <v>600</v>
      </c>
      <c r="O70" s="2">
        <v>3446792.1987980008</v>
      </c>
      <c r="P70" s="2"/>
      <c r="Q70" s="2">
        <v>3102360.26</v>
      </c>
      <c r="R70" s="2">
        <v>620472.05200000003</v>
      </c>
      <c r="S70" s="2">
        <v>0</v>
      </c>
      <c r="T70" s="2" t="s">
        <v>175</v>
      </c>
      <c r="U70" s="2">
        <v>186752.41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186752.41</v>
      </c>
      <c r="AI70" s="2">
        <f>Tabla1[[#This Row],[Avance 20%]]+Tabla1[[#This Row],[Pago de Activos Fijos]]+Tabla1[[#This Row],[Total Cubicado]]</f>
        <v>807224.46200000006</v>
      </c>
      <c r="AJ70" s="7" t="s">
        <v>163</v>
      </c>
      <c r="AK70" s="22">
        <f>Tabla1[[#This Row],[TOTAL PAGADO]]/Tabla1[[#This Row],[Monto Adjudicado]]*100%</f>
        <v>0.26019688055184154</v>
      </c>
    </row>
    <row r="71" spans="2:37" x14ac:dyDescent="0.3">
      <c r="B71" s="7" t="s">
        <v>169</v>
      </c>
      <c r="C71" s="7">
        <v>2025</v>
      </c>
      <c r="D71" s="7" t="s">
        <v>78</v>
      </c>
      <c r="E71" s="7">
        <v>16879</v>
      </c>
      <c r="H71" s="7" t="s">
        <v>185</v>
      </c>
      <c r="I71" s="7" t="s">
        <v>75</v>
      </c>
      <c r="J71" s="7" t="s">
        <v>10</v>
      </c>
      <c r="K71" s="7" t="s">
        <v>124</v>
      </c>
      <c r="L71" s="7" t="s">
        <v>125</v>
      </c>
      <c r="M71" s="7">
        <v>600</v>
      </c>
      <c r="O71" s="2">
        <v>3446792.1987980008</v>
      </c>
      <c r="P71" s="2"/>
      <c r="Q71" s="2">
        <v>3102360.26</v>
      </c>
      <c r="R71" s="2">
        <v>620472.05200000003</v>
      </c>
      <c r="S71" s="2">
        <v>0</v>
      </c>
      <c r="T71" s="2" t="s">
        <v>175</v>
      </c>
      <c r="U71" s="2">
        <v>899768.92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899768.92</v>
      </c>
      <c r="AI71" s="2">
        <f>Tabla1[[#This Row],[Avance 20%]]+Tabla1[[#This Row],[Pago de Activos Fijos]]+Tabla1[[#This Row],[Total Cubicado]]</f>
        <v>1520240.9720000001</v>
      </c>
      <c r="AJ71" s="7" t="s">
        <v>163</v>
      </c>
      <c r="AK71" s="22">
        <f>Tabla1[[#This Row],[TOTAL PAGADO]]/Tabla1[[#This Row],[Monto Adjudicado]]*100%</f>
        <v>0.49002721946934691</v>
      </c>
    </row>
    <row r="72" spans="2:37" x14ac:dyDescent="0.3">
      <c r="B72" s="7" t="s">
        <v>169</v>
      </c>
      <c r="C72" s="7">
        <v>2025</v>
      </c>
      <c r="D72" s="7" t="s">
        <v>78</v>
      </c>
      <c r="E72" s="7">
        <v>16879</v>
      </c>
      <c r="H72" s="7" t="s">
        <v>185</v>
      </c>
      <c r="I72" s="7" t="s">
        <v>75</v>
      </c>
      <c r="J72" s="7" t="s">
        <v>126</v>
      </c>
      <c r="L72" s="7" t="s">
        <v>127</v>
      </c>
      <c r="M72" s="7">
        <v>600</v>
      </c>
      <c r="O72" s="2">
        <v>3419652.1987980008</v>
      </c>
      <c r="P72" s="2"/>
      <c r="Q72" s="2">
        <v>3077688.26</v>
      </c>
      <c r="R72" s="2">
        <v>615537.652</v>
      </c>
      <c r="S72" s="2">
        <v>0</v>
      </c>
      <c r="T72" s="2" t="s">
        <v>175</v>
      </c>
      <c r="U72" s="2">
        <v>220565.49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220565.49</v>
      </c>
      <c r="AI72" s="2">
        <f>Tabla1[[#This Row],[Avance 20%]]+Tabla1[[#This Row],[Pago de Activos Fijos]]+Tabla1[[#This Row],[Total Cubicado]]</f>
        <v>836103.14199999999</v>
      </c>
      <c r="AJ72" s="7" t="s">
        <v>163</v>
      </c>
      <c r="AK72" s="22">
        <f>Tabla1[[#This Row],[TOTAL PAGADO]]/Tabla1[[#This Row],[Monto Adjudicado]]*100%</f>
        <v>0.27166596203606408</v>
      </c>
    </row>
    <row r="73" spans="2:37" x14ac:dyDescent="0.3">
      <c r="B73" s="7" t="s">
        <v>169</v>
      </c>
      <c r="C73" s="7">
        <v>2025</v>
      </c>
      <c r="D73" s="7" t="s">
        <v>78</v>
      </c>
      <c r="E73" s="7">
        <v>16879</v>
      </c>
      <c r="H73" s="7" t="s">
        <v>185</v>
      </c>
      <c r="I73" s="7" t="s">
        <v>74</v>
      </c>
      <c r="J73" s="7" t="s">
        <v>10</v>
      </c>
      <c r="K73" s="7" t="s">
        <v>114</v>
      </c>
      <c r="L73" s="7" t="s">
        <v>115</v>
      </c>
      <c r="M73" s="7">
        <v>450</v>
      </c>
      <c r="O73" s="2">
        <v>3066832.1987980008</v>
      </c>
      <c r="P73" s="2"/>
      <c r="Q73" s="2">
        <v>2826004.25</v>
      </c>
      <c r="R73" s="2">
        <v>565200.85</v>
      </c>
      <c r="S73" s="2">
        <v>0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73" s="2">
        <f>Tabla1[[#This Row],[Avance 20%]]+Tabla1[[#This Row],[Pago de Activos Fijos]]+Tabla1[[#This Row],[Total Cubicado]]</f>
        <v>565200.85</v>
      </c>
      <c r="AJ73" s="7" t="s">
        <v>163</v>
      </c>
      <c r="AK73" s="22">
        <f>Tabla1[[#This Row],[TOTAL PAGADO]]/Tabla1[[#This Row],[Monto Adjudicado]]*100%</f>
        <v>0.19999999999999998</v>
      </c>
    </row>
    <row r="74" spans="2:37" x14ac:dyDescent="0.3">
      <c r="B74" s="7" t="s">
        <v>153</v>
      </c>
      <c r="C74" s="7">
        <v>2025</v>
      </c>
      <c r="D74" s="7" t="s">
        <v>78</v>
      </c>
      <c r="E74" s="7">
        <v>16879</v>
      </c>
      <c r="H74" s="7" t="s">
        <v>185</v>
      </c>
      <c r="I74" s="7" t="s">
        <v>49</v>
      </c>
      <c r="J74" s="7" t="s">
        <v>50</v>
      </c>
      <c r="K74" s="7" t="s">
        <v>51</v>
      </c>
      <c r="L74" s="7" t="s">
        <v>134</v>
      </c>
      <c r="M74" s="7">
        <v>330</v>
      </c>
      <c r="O74" s="2">
        <v>2810700.0185658624</v>
      </c>
      <c r="P74" s="2"/>
      <c r="Q74" s="2">
        <v>2850122.36</v>
      </c>
      <c r="R74" s="2">
        <v>0</v>
      </c>
      <c r="S74" s="2">
        <v>0</v>
      </c>
      <c r="T74" s="2" t="s">
        <v>173</v>
      </c>
      <c r="U74" s="2">
        <v>919959.75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919959.75</v>
      </c>
      <c r="AI74" s="2">
        <f>Tabla1[[#This Row],[Avance 20%]]+Tabla1[[#This Row],[Pago de Activos Fijos]]+Tabla1[[#This Row],[Total Cubicado]]</f>
        <v>919959.75</v>
      </c>
      <c r="AJ74" s="7" t="s">
        <v>163</v>
      </c>
      <c r="AK74" s="10">
        <v>0.3</v>
      </c>
    </row>
    <row r="75" spans="2:37" x14ac:dyDescent="0.3">
      <c r="B75" s="7" t="s">
        <v>153</v>
      </c>
      <c r="C75" s="7">
        <v>2025</v>
      </c>
      <c r="D75" s="7" t="s">
        <v>78</v>
      </c>
      <c r="E75" s="7">
        <v>16879</v>
      </c>
      <c r="H75" s="7" t="s">
        <v>185</v>
      </c>
      <c r="I75" s="7" t="s">
        <v>49</v>
      </c>
      <c r="J75" s="7" t="s">
        <v>50</v>
      </c>
      <c r="K75" s="7" t="s">
        <v>51</v>
      </c>
      <c r="L75" s="7" t="s">
        <v>135</v>
      </c>
      <c r="M75" s="7">
        <v>200</v>
      </c>
      <c r="O75" s="2">
        <v>572688.8888798363</v>
      </c>
      <c r="P75" s="2"/>
      <c r="Q75" s="2">
        <v>591558.27</v>
      </c>
      <c r="R75" s="2">
        <v>0</v>
      </c>
      <c r="S75" s="2">
        <v>0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75" s="2">
        <f>Tabla1[[#This Row],[Avance 20%]]+Tabla1[[#This Row],[Pago de Activos Fijos]]+Tabla1[[#This Row],[Total Cubicado]]</f>
        <v>0</v>
      </c>
      <c r="AJ75" s="7" t="s">
        <v>163</v>
      </c>
      <c r="AK75" s="10">
        <v>0.3</v>
      </c>
    </row>
    <row r="76" spans="2:37" x14ac:dyDescent="0.3">
      <c r="B76" s="7" t="s">
        <v>153</v>
      </c>
      <c r="C76" s="7">
        <v>2025</v>
      </c>
      <c r="D76" s="7" t="s">
        <v>78</v>
      </c>
      <c r="E76" s="7">
        <v>16879</v>
      </c>
      <c r="H76" s="7" t="s">
        <v>185</v>
      </c>
      <c r="I76" s="7" t="s">
        <v>49</v>
      </c>
      <c r="J76" s="7" t="s">
        <v>50</v>
      </c>
      <c r="K76" s="7" t="s">
        <v>51</v>
      </c>
      <c r="L76" s="7" t="s">
        <v>136</v>
      </c>
      <c r="M76" s="7">
        <v>125</v>
      </c>
      <c r="O76" s="2">
        <v>994989.31</v>
      </c>
      <c r="P76" s="2"/>
      <c r="Q76" s="2">
        <v>1174581.71</v>
      </c>
      <c r="R76" s="2">
        <v>0</v>
      </c>
      <c r="S76" s="2">
        <v>0</v>
      </c>
      <c r="T76" s="2" t="s">
        <v>173</v>
      </c>
      <c r="U76" s="2">
        <v>303958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303958</v>
      </c>
      <c r="AI76" s="2">
        <f>Tabla1[[#This Row],[Avance 20%]]+Tabla1[[#This Row],[Pago de Activos Fijos]]+Tabla1[[#This Row],[Total Cubicado]]</f>
        <v>303958</v>
      </c>
      <c r="AJ76" s="7" t="s">
        <v>163</v>
      </c>
      <c r="AK76" s="10">
        <v>0.3</v>
      </c>
    </row>
    <row r="77" spans="2:37" x14ac:dyDescent="0.3">
      <c r="B77" s="7" t="s">
        <v>153</v>
      </c>
      <c r="C77" s="7">
        <v>2025</v>
      </c>
      <c r="D77" s="7" t="s">
        <v>78</v>
      </c>
      <c r="E77" s="7">
        <v>16879</v>
      </c>
      <c r="H77" s="7" t="s">
        <v>185</v>
      </c>
      <c r="I77" s="7" t="s">
        <v>49</v>
      </c>
      <c r="J77" s="7" t="s">
        <v>50</v>
      </c>
      <c r="K77" s="7" t="s">
        <v>51</v>
      </c>
      <c r="L77" s="7" t="s">
        <v>137</v>
      </c>
      <c r="M77" s="7">
        <v>225</v>
      </c>
      <c r="O77" s="2">
        <v>1086179.3</v>
      </c>
      <c r="P77" s="2"/>
      <c r="Q77" s="2">
        <v>1176197.75</v>
      </c>
      <c r="R77" s="2">
        <v>0</v>
      </c>
      <c r="S77" s="2">
        <v>0</v>
      </c>
      <c r="T77" s="2" t="s">
        <v>173</v>
      </c>
      <c r="U77" s="2">
        <v>104838.95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104838.95</v>
      </c>
      <c r="AI77" s="2">
        <f>Tabla1[[#This Row],[Avance 20%]]+Tabla1[[#This Row],[Pago de Activos Fijos]]+Tabla1[[#This Row],[Total Cubicado]]</f>
        <v>104838.95</v>
      </c>
      <c r="AJ77" s="7" t="s">
        <v>163</v>
      </c>
      <c r="AK77" s="10">
        <v>0.3</v>
      </c>
    </row>
    <row r="78" spans="2:37" x14ac:dyDescent="0.3">
      <c r="B78" s="7" t="s">
        <v>153</v>
      </c>
      <c r="C78" s="7">
        <v>2025</v>
      </c>
      <c r="D78" s="7" t="s">
        <v>78</v>
      </c>
      <c r="E78" s="7">
        <v>16879</v>
      </c>
      <c r="H78" s="7" t="s">
        <v>185</v>
      </c>
      <c r="I78" s="7" t="s">
        <v>49</v>
      </c>
      <c r="J78" s="7" t="s">
        <v>50</v>
      </c>
      <c r="K78" s="7" t="s">
        <v>51</v>
      </c>
      <c r="L78" s="7" t="s">
        <v>138</v>
      </c>
      <c r="M78" s="7">
        <v>225</v>
      </c>
      <c r="O78" s="2">
        <v>1075691.02</v>
      </c>
      <c r="P78" s="2"/>
      <c r="Q78" s="2">
        <v>1091934.29</v>
      </c>
      <c r="R78" s="2">
        <v>0</v>
      </c>
      <c r="S78" s="2">
        <v>0</v>
      </c>
      <c r="T78" s="2" t="s">
        <v>173</v>
      </c>
      <c r="U78" s="2">
        <v>611905.93999999994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611905.93999999994</v>
      </c>
      <c r="AI78" s="2">
        <f>Tabla1[[#This Row],[Avance 20%]]+Tabla1[[#This Row],[Pago de Activos Fijos]]+Tabla1[[#This Row],[Total Cubicado]]</f>
        <v>611905.93999999994</v>
      </c>
      <c r="AJ78" s="7" t="s">
        <v>163</v>
      </c>
      <c r="AK78" s="10">
        <v>0.3</v>
      </c>
    </row>
    <row r="79" spans="2:37" x14ac:dyDescent="0.3">
      <c r="B79" s="7" t="s">
        <v>153</v>
      </c>
      <c r="C79" s="7">
        <v>2025</v>
      </c>
      <c r="D79" s="7" t="s">
        <v>78</v>
      </c>
      <c r="E79" s="7">
        <v>16879</v>
      </c>
      <c r="H79" s="7" t="s">
        <v>185</v>
      </c>
      <c r="I79" s="7" t="s">
        <v>49</v>
      </c>
      <c r="J79" s="7" t="s">
        <v>50</v>
      </c>
      <c r="K79" s="7" t="s">
        <v>51</v>
      </c>
      <c r="L79" s="7" t="s">
        <v>139</v>
      </c>
      <c r="M79" s="7">
        <v>505</v>
      </c>
      <c r="O79" s="2">
        <v>1920848.44</v>
      </c>
      <c r="P79" s="2"/>
      <c r="Q79" s="2">
        <v>2060622.85</v>
      </c>
      <c r="R79" s="2">
        <v>0</v>
      </c>
      <c r="S79" s="2">
        <v>0</v>
      </c>
      <c r="T79" s="2" t="s">
        <v>173</v>
      </c>
      <c r="U79" s="2">
        <v>1043598.14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1043598.14</v>
      </c>
      <c r="AI79" s="2">
        <f>Tabla1[[#This Row],[Avance 20%]]+Tabla1[[#This Row],[Pago de Activos Fijos]]+Tabla1[[#This Row],[Total Cubicado]]</f>
        <v>1043598.14</v>
      </c>
      <c r="AJ79" s="7" t="s">
        <v>163</v>
      </c>
      <c r="AK79" s="10">
        <v>0.3</v>
      </c>
    </row>
    <row r="80" spans="2:37" x14ac:dyDescent="0.3">
      <c r="B80" s="7" t="s">
        <v>153</v>
      </c>
      <c r="C80" s="7">
        <v>2025</v>
      </c>
      <c r="D80" s="7" t="s">
        <v>78</v>
      </c>
      <c r="E80" s="7">
        <v>16879</v>
      </c>
      <c r="H80" s="7" t="s">
        <v>185</v>
      </c>
      <c r="I80" s="7" t="s">
        <v>75</v>
      </c>
      <c r="J80" s="7" t="s">
        <v>50</v>
      </c>
      <c r="K80" s="7" t="s">
        <v>51</v>
      </c>
      <c r="L80" s="7" t="s">
        <v>140</v>
      </c>
      <c r="M80" s="7">
        <v>1200</v>
      </c>
      <c r="O80" s="2">
        <v>3179737.7087980006</v>
      </c>
      <c r="P80" s="2"/>
      <c r="Q80" s="2">
        <v>2861763.94</v>
      </c>
      <c r="R80" s="2">
        <v>0</v>
      </c>
      <c r="S80" s="2">
        <v>0</v>
      </c>
      <c r="T80" s="2" t="s">
        <v>173</v>
      </c>
      <c r="U80" s="2">
        <v>568766.18000000005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568766.18000000005</v>
      </c>
      <c r="AI80" s="2">
        <f>Tabla1[[#This Row],[Avance 20%]]+Tabla1[[#This Row],[Pago de Activos Fijos]]+Tabla1[[#This Row],[Total Cubicado]]</f>
        <v>568766.18000000005</v>
      </c>
      <c r="AJ80" s="7" t="s">
        <v>163</v>
      </c>
      <c r="AK80" s="10">
        <v>0.3</v>
      </c>
    </row>
    <row r="81" spans="2:37" x14ac:dyDescent="0.3">
      <c r="B81" s="7" t="s">
        <v>153</v>
      </c>
      <c r="C81" s="7">
        <v>2025</v>
      </c>
      <c r="D81" s="7" t="s">
        <v>78</v>
      </c>
      <c r="E81" s="7">
        <v>16879</v>
      </c>
      <c r="H81" s="7" t="s">
        <v>185</v>
      </c>
      <c r="I81" s="7" t="s">
        <v>75</v>
      </c>
      <c r="J81" s="7" t="s">
        <v>50</v>
      </c>
      <c r="K81" s="7" t="s">
        <v>51</v>
      </c>
      <c r="L81" s="7" t="s">
        <v>135</v>
      </c>
      <c r="M81" s="7">
        <v>200</v>
      </c>
      <c r="O81" s="2">
        <v>3126304.2513624178</v>
      </c>
      <c r="P81" s="2"/>
      <c r="Q81" s="2">
        <v>2813673.83</v>
      </c>
      <c r="R81" s="2">
        <v>0</v>
      </c>
      <c r="S81" s="2">
        <v>0</v>
      </c>
      <c r="T81" s="2" t="s">
        <v>173</v>
      </c>
      <c r="U81" s="2">
        <v>710066.39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710066.39</v>
      </c>
      <c r="AI81" s="2">
        <f>Tabla1[[#This Row],[Avance 20%]]+Tabla1[[#This Row],[Pago de Activos Fijos]]+Tabla1[[#This Row],[Total Cubicado]]</f>
        <v>710066.39</v>
      </c>
      <c r="AJ81" s="7" t="s">
        <v>163</v>
      </c>
      <c r="AK81" s="10">
        <v>0.3</v>
      </c>
    </row>
    <row r="82" spans="2:37" x14ac:dyDescent="0.3">
      <c r="B82" s="7" t="s">
        <v>153</v>
      </c>
      <c r="C82" s="7">
        <v>2025</v>
      </c>
      <c r="D82" s="7" t="s">
        <v>78</v>
      </c>
      <c r="E82" s="7">
        <v>16879</v>
      </c>
      <c r="H82" s="7" t="s">
        <v>185</v>
      </c>
      <c r="I82" s="7" t="s">
        <v>49</v>
      </c>
      <c r="J82" s="7" t="s">
        <v>50</v>
      </c>
      <c r="L82" s="7" t="s">
        <v>141</v>
      </c>
      <c r="M82" s="7">
        <v>275</v>
      </c>
      <c r="O82" s="2">
        <v>2025719.18</v>
      </c>
      <c r="P82" s="2"/>
      <c r="Q82" s="2">
        <v>2009340.36</v>
      </c>
      <c r="R82" s="2">
        <v>0</v>
      </c>
      <c r="S82" s="2">
        <v>0</v>
      </c>
      <c r="T82" s="2" t="s">
        <v>176</v>
      </c>
      <c r="U82" s="2">
        <v>1020641.24</v>
      </c>
      <c r="V82" s="2" t="s">
        <v>173</v>
      </c>
      <c r="W82" s="2">
        <v>124397.93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1145039.17</v>
      </c>
      <c r="AI82" s="2">
        <f>Tabla1[[#This Row],[Avance 20%]]+Tabla1[[#This Row],[Pago de Activos Fijos]]+Tabla1[[#This Row],[Total Cubicado]]</f>
        <v>1145039.17</v>
      </c>
      <c r="AJ82" s="7" t="s">
        <v>163</v>
      </c>
      <c r="AK82" s="10">
        <v>0.3</v>
      </c>
    </row>
    <row r="83" spans="2:37" x14ac:dyDescent="0.3">
      <c r="B83" s="7" t="s">
        <v>153</v>
      </c>
      <c r="C83" s="7">
        <v>2025</v>
      </c>
      <c r="D83" s="7" t="s">
        <v>78</v>
      </c>
      <c r="E83" s="7">
        <v>16879</v>
      </c>
      <c r="H83" s="7" t="s">
        <v>185</v>
      </c>
      <c r="I83" s="7" t="s">
        <v>49</v>
      </c>
      <c r="J83" s="7" t="s">
        <v>50</v>
      </c>
      <c r="L83" s="7" t="s">
        <v>142</v>
      </c>
      <c r="M83" s="7">
        <v>280</v>
      </c>
      <c r="O83" s="2">
        <v>2535373.4900000002</v>
      </c>
      <c r="P83" s="2"/>
      <c r="Q83" s="2">
        <v>2584327.9700000002</v>
      </c>
      <c r="R83" s="2">
        <v>0</v>
      </c>
      <c r="S83" s="2">
        <v>0</v>
      </c>
      <c r="T83" s="2" t="s">
        <v>176</v>
      </c>
      <c r="U83" s="2">
        <v>1379173.05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1379173.05</v>
      </c>
      <c r="AI83" s="2">
        <f>Tabla1[[#This Row],[Avance 20%]]+Tabla1[[#This Row],[Pago de Activos Fijos]]+Tabla1[[#This Row],[Total Cubicado]]</f>
        <v>1379173.05</v>
      </c>
      <c r="AJ83" s="7" t="s">
        <v>163</v>
      </c>
      <c r="AK83" s="10">
        <v>0.3</v>
      </c>
    </row>
    <row r="84" spans="2:37" x14ac:dyDescent="0.3">
      <c r="B84" s="7" t="s">
        <v>153</v>
      </c>
      <c r="C84" s="7">
        <v>2025</v>
      </c>
      <c r="D84" s="7" t="s">
        <v>78</v>
      </c>
      <c r="E84" s="7">
        <v>16879</v>
      </c>
      <c r="H84" s="7" t="s">
        <v>185</v>
      </c>
      <c r="I84" s="7" t="s">
        <v>49</v>
      </c>
      <c r="J84" s="7" t="s">
        <v>50</v>
      </c>
      <c r="L84" s="7" t="s">
        <v>143</v>
      </c>
      <c r="M84" s="7">
        <v>125</v>
      </c>
      <c r="O84" s="2">
        <v>565528.51</v>
      </c>
      <c r="P84" s="2"/>
      <c r="Q84" s="2">
        <v>581155.59</v>
      </c>
      <c r="R84" s="2">
        <v>0</v>
      </c>
      <c r="S84" s="2">
        <v>0</v>
      </c>
      <c r="T84" s="2" t="s">
        <v>176</v>
      </c>
      <c r="U84" s="2">
        <v>234102.25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234102.25</v>
      </c>
      <c r="AI84" s="2">
        <f>Tabla1[[#This Row],[Avance 20%]]+Tabla1[[#This Row],[Pago de Activos Fijos]]+Tabla1[[#This Row],[Total Cubicado]]</f>
        <v>234102.25</v>
      </c>
      <c r="AJ84" s="7" t="s">
        <v>163</v>
      </c>
      <c r="AK84" s="10">
        <v>0.3</v>
      </c>
    </row>
    <row r="85" spans="2:37" x14ac:dyDescent="0.3">
      <c r="B85" s="7" t="s">
        <v>153</v>
      </c>
      <c r="C85" s="7">
        <v>2025</v>
      </c>
      <c r="D85" s="7" t="s">
        <v>78</v>
      </c>
      <c r="E85" s="7">
        <v>16879</v>
      </c>
      <c r="H85" s="7" t="s">
        <v>185</v>
      </c>
      <c r="I85" s="7" t="s">
        <v>49</v>
      </c>
      <c r="J85" s="7" t="s">
        <v>50</v>
      </c>
      <c r="L85" s="7" t="s">
        <v>144</v>
      </c>
      <c r="M85" s="7">
        <v>100</v>
      </c>
      <c r="O85" s="2">
        <v>693468.93</v>
      </c>
      <c r="P85" s="2"/>
      <c r="Q85" s="2">
        <v>671509.05</v>
      </c>
      <c r="R85" s="2">
        <v>0</v>
      </c>
      <c r="S85" s="2">
        <v>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85" s="2">
        <f>Tabla1[[#This Row],[Avance 20%]]+Tabla1[[#This Row],[Pago de Activos Fijos]]+Tabla1[[#This Row],[Total Cubicado]]</f>
        <v>0</v>
      </c>
      <c r="AJ85" s="7" t="s">
        <v>163</v>
      </c>
      <c r="AK85" s="10">
        <v>0.3</v>
      </c>
    </row>
    <row r="86" spans="2:37" x14ac:dyDescent="0.3">
      <c r="B86" s="7" t="s">
        <v>153</v>
      </c>
      <c r="C86" s="7">
        <v>2025</v>
      </c>
      <c r="D86" s="7" t="s">
        <v>78</v>
      </c>
      <c r="E86" s="7">
        <v>16879</v>
      </c>
      <c r="H86" s="7" t="s">
        <v>185</v>
      </c>
      <c r="I86" s="7" t="s">
        <v>49</v>
      </c>
      <c r="J86" s="7" t="s">
        <v>50</v>
      </c>
      <c r="L86" s="7" t="s">
        <v>145</v>
      </c>
      <c r="M86" s="7">
        <v>1000</v>
      </c>
      <c r="O86" s="2">
        <v>2094659.12</v>
      </c>
      <c r="P86" s="2"/>
      <c r="Q86" s="2">
        <v>2214571.5</v>
      </c>
      <c r="R86" s="2">
        <v>0</v>
      </c>
      <c r="S86" s="2">
        <v>0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86" s="2">
        <f>Tabla1[[#This Row],[Avance 20%]]+Tabla1[[#This Row],[Pago de Activos Fijos]]+Tabla1[[#This Row],[Total Cubicado]]</f>
        <v>0</v>
      </c>
      <c r="AJ86" s="7" t="s">
        <v>163</v>
      </c>
      <c r="AK86" s="10">
        <v>0.3</v>
      </c>
    </row>
    <row r="87" spans="2:37" x14ac:dyDescent="0.3">
      <c r="B87" s="7" t="s">
        <v>153</v>
      </c>
      <c r="C87" s="7">
        <v>2025</v>
      </c>
      <c r="D87" s="7" t="s">
        <v>78</v>
      </c>
      <c r="E87" s="7">
        <v>16879</v>
      </c>
      <c r="H87" s="7" t="s">
        <v>185</v>
      </c>
      <c r="I87" s="7" t="s">
        <v>49</v>
      </c>
      <c r="J87" s="7" t="s">
        <v>50</v>
      </c>
      <c r="L87" s="7" t="s">
        <v>146</v>
      </c>
      <c r="M87" s="7">
        <v>75</v>
      </c>
      <c r="O87" s="2">
        <v>1228598.75</v>
      </c>
      <c r="P87" s="2"/>
      <c r="Q87" s="2">
        <v>1298144.8700000001</v>
      </c>
      <c r="R87" s="2">
        <v>0</v>
      </c>
      <c r="S87" s="2">
        <v>0</v>
      </c>
      <c r="T87" s="2" t="s">
        <v>176</v>
      </c>
      <c r="U87" s="2">
        <v>252196.97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252196.97</v>
      </c>
      <c r="AI87" s="2">
        <f>Tabla1[[#This Row],[Avance 20%]]+Tabla1[[#This Row],[Pago de Activos Fijos]]+Tabla1[[#This Row],[Total Cubicado]]</f>
        <v>252196.97</v>
      </c>
      <c r="AJ87" s="7" t="s">
        <v>163</v>
      </c>
      <c r="AK87" s="10">
        <v>0.3</v>
      </c>
    </row>
    <row r="88" spans="2:37" x14ac:dyDescent="0.3">
      <c r="B88" s="7" t="s">
        <v>153</v>
      </c>
      <c r="C88" s="7">
        <v>2025</v>
      </c>
      <c r="D88" s="7" t="s">
        <v>78</v>
      </c>
      <c r="E88" s="7">
        <v>16879</v>
      </c>
      <c r="H88" s="7" t="s">
        <v>185</v>
      </c>
      <c r="I88" s="7" t="s">
        <v>49</v>
      </c>
      <c r="J88" s="7" t="s">
        <v>50</v>
      </c>
      <c r="L88" s="7" t="s">
        <v>147</v>
      </c>
      <c r="M88" s="7">
        <v>30</v>
      </c>
      <c r="O88" s="2">
        <v>2295873.41</v>
      </c>
      <c r="P88" s="2"/>
      <c r="Q88" s="2">
        <v>2424188.91</v>
      </c>
      <c r="R88" s="2">
        <v>0</v>
      </c>
      <c r="S88" s="2">
        <v>0</v>
      </c>
      <c r="T88" s="2" t="s">
        <v>173</v>
      </c>
      <c r="U88" s="2">
        <v>1130323.26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1130323.26</v>
      </c>
      <c r="AI88" s="2">
        <f>Tabla1[[#This Row],[Avance 20%]]+Tabla1[[#This Row],[Pago de Activos Fijos]]+Tabla1[[#This Row],[Total Cubicado]]</f>
        <v>1130323.26</v>
      </c>
      <c r="AJ88" s="7" t="s">
        <v>163</v>
      </c>
      <c r="AK88" s="10">
        <v>0.3</v>
      </c>
    </row>
    <row r="89" spans="2:37" x14ac:dyDescent="0.3">
      <c r="B89" s="7" t="s">
        <v>153</v>
      </c>
      <c r="C89" s="7">
        <v>2025</v>
      </c>
      <c r="D89" s="7" t="s">
        <v>78</v>
      </c>
      <c r="E89" s="7">
        <v>16879</v>
      </c>
      <c r="H89" s="7" t="s">
        <v>185</v>
      </c>
      <c r="I89" s="7" t="s">
        <v>75</v>
      </c>
      <c r="J89" s="7" t="s">
        <v>50</v>
      </c>
      <c r="L89" s="7" t="s">
        <v>148</v>
      </c>
      <c r="M89" s="7">
        <v>1000</v>
      </c>
      <c r="O89" s="2">
        <v>3126304.2513624178</v>
      </c>
      <c r="P89" s="2"/>
      <c r="Q89" s="2">
        <v>2813673.83</v>
      </c>
      <c r="R89" s="2">
        <v>0</v>
      </c>
      <c r="S89" s="2">
        <v>0</v>
      </c>
      <c r="T89" s="2" t="s">
        <v>173</v>
      </c>
      <c r="U89" s="2">
        <v>569865.79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569865.79</v>
      </c>
      <c r="AI89" s="2">
        <f>Tabla1[[#This Row],[Avance 20%]]+Tabla1[[#This Row],[Pago de Activos Fijos]]+Tabla1[[#This Row],[Total Cubicado]]</f>
        <v>569865.79</v>
      </c>
      <c r="AJ89" s="7" t="s">
        <v>163</v>
      </c>
      <c r="AK89" s="10">
        <v>0.3</v>
      </c>
    </row>
    <row r="90" spans="2:37" x14ac:dyDescent="0.3">
      <c r="B90" s="7" t="s">
        <v>153</v>
      </c>
      <c r="C90" s="7">
        <v>2025</v>
      </c>
      <c r="D90" s="7" t="s">
        <v>78</v>
      </c>
      <c r="E90" s="7">
        <v>16879</v>
      </c>
      <c r="H90" s="7" t="s">
        <v>185</v>
      </c>
      <c r="I90" s="7" t="s">
        <v>75</v>
      </c>
      <c r="J90" s="7" t="s">
        <v>50</v>
      </c>
      <c r="L90" s="7" t="s">
        <v>146</v>
      </c>
      <c r="M90" s="7">
        <v>75</v>
      </c>
      <c r="O90" s="2">
        <v>3126304.2513624178</v>
      </c>
      <c r="P90" s="2"/>
      <c r="Q90" s="2">
        <v>2813673.83</v>
      </c>
      <c r="R90" s="2">
        <v>0</v>
      </c>
      <c r="S90" s="2">
        <v>0</v>
      </c>
      <c r="T90" s="2"/>
      <c r="U90" s="2">
        <v>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0" s="2">
        <f>Tabla1[[#This Row],[Avance 20%]]+Tabla1[[#This Row],[Pago de Activos Fijos]]+Tabla1[[#This Row],[Total Cubicado]]</f>
        <v>0</v>
      </c>
      <c r="AJ90" s="7" t="s">
        <v>163</v>
      </c>
      <c r="AK90" s="10">
        <v>0.3</v>
      </c>
    </row>
    <row r="91" spans="2:37" x14ac:dyDescent="0.3">
      <c r="B91" s="7" t="s">
        <v>153</v>
      </c>
      <c r="C91" s="7">
        <v>2025</v>
      </c>
      <c r="D91" s="7" t="s">
        <v>78</v>
      </c>
      <c r="E91" s="7">
        <v>16879</v>
      </c>
      <c r="F91" s="7" t="s">
        <v>133</v>
      </c>
      <c r="G91" s="7">
        <v>5</v>
      </c>
      <c r="H91" s="7" t="s">
        <v>185</v>
      </c>
      <c r="I91" s="7" t="s">
        <v>75</v>
      </c>
      <c r="J91" s="7" t="s">
        <v>50</v>
      </c>
      <c r="K91" s="7" t="s">
        <v>56</v>
      </c>
      <c r="L91" s="7" t="s">
        <v>151</v>
      </c>
      <c r="M91" s="7">
        <v>380</v>
      </c>
      <c r="O91" s="2">
        <v>3126304.2513624178</v>
      </c>
      <c r="P91" s="2"/>
      <c r="Q91" s="2">
        <v>2813673.83</v>
      </c>
      <c r="R91" s="2">
        <v>0</v>
      </c>
      <c r="S91" s="2">
        <v>0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1" s="2">
        <f>Tabla1[[#This Row],[Avance 20%]]+Tabla1[[#This Row],[Pago de Activos Fijos]]+Tabla1[[#This Row],[Total Cubicado]]</f>
        <v>0</v>
      </c>
      <c r="AJ91" s="7" t="s">
        <v>163</v>
      </c>
      <c r="AK91" s="10">
        <v>0.3</v>
      </c>
    </row>
    <row r="92" spans="2:37" x14ac:dyDescent="0.3">
      <c r="B92" s="7" t="s">
        <v>153</v>
      </c>
      <c r="C92" s="7">
        <v>2025</v>
      </c>
      <c r="D92" s="7" t="s">
        <v>78</v>
      </c>
      <c r="E92" s="7">
        <v>16879</v>
      </c>
      <c r="F92" s="7" t="s">
        <v>133</v>
      </c>
      <c r="G92" s="7">
        <v>6</v>
      </c>
      <c r="H92" s="7" t="s">
        <v>185</v>
      </c>
      <c r="I92" s="7" t="s">
        <v>75</v>
      </c>
      <c r="J92" s="7" t="s">
        <v>50</v>
      </c>
      <c r="K92" s="7" t="s">
        <v>56</v>
      </c>
      <c r="L92" s="7" t="s">
        <v>152</v>
      </c>
      <c r="M92" s="7">
        <v>250</v>
      </c>
      <c r="O92" s="2">
        <v>3126304.2513624178</v>
      </c>
      <c r="P92" s="2"/>
      <c r="Q92" s="2">
        <v>2813673.83</v>
      </c>
      <c r="R92" s="2">
        <v>0</v>
      </c>
      <c r="S92" s="2">
        <v>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2" s="2">
        <f>Tabla1[[#This Row],[Avance 20%]]+Tabla1[[#This Row],[Pago de Activos Fijos]]+Tabla1[[#This Row],[Total Cubicado]]</f>
        <v>0</v>
      </c>
      <c r="AJ92" s="7" t="s">
        <v>163</v>
      </c>
      <c r="AK92" s="10">
        <v>0.3</v>
      </c>
    </row>
    <row r="93" spans="2:37" x14ac:dyDescent="0.3">
      <c r="B93" s="7" t="s">
        <v>157</v>
      </c>
      <c r="C93" s="7">
        <v>2026</v>
      </c>
      <c r="D93" s="7" t="s">
        <v>78</v>
      </c>
      <c r="E93" s="7">
        <v>16879</v>
      </c>
      <c r="H93" s="7" t="s">
        <v>185</v>
      </c>
      <c r="I93" s="9" t="s">
        <v>49</v>
      </c>
      <c r="J93" s="7" t="s">
        <v>50</v>
      </c>
      <c r="K93" s="7" t="s">
        <v>51</v>
      </c>
      <c r="L93" s="7" t="s">
        <v>52</v>
      </c>
      <c r="M93" s="7">
        <v>315</v>
      </c>
      <c r="O93" s="2">
        <v>1322168.2679789499</v>
      </c>
      <c r="P93" s="2"/>
      <c r="Q93" s="2">
        <v>1133454.3600000001</v>
      </c>
      <c r="R93" s="2">
        <v>0</v>
      </c>
      <c r="S93" s="2">
        <v>0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3" s="2">
        <f>Tabla1[[#This Row],[Avance 20%]]+Tabla1[[#This Row],[Pago de Activos Fijos]]+Tabla1[[#This Row],[Total Cubicado]]</f>
        <v>0</v>
      </c>
      <c r="AJ93" s="7" t="s">
        <v>164</v>
      </c>
      <c r="AK93" s="10">
        <v>0.3</v>
      </c>
    </row>
    <row r="94" spans="2:37" x14ac:dyDescent="0.3">
      <c r="B94" s="7" t="s">
        <v>157</v>
      </c>
      <c r="C94" s="7">
        <v>2026</v>
      </c>
      <c r="D94" s="7" t="s">
        <v>78</v>
      </c>
      <c r="E94" s="7">
        <v>16879</v>
      </c>
      <c r="H94" s="7" t="s">
        <v>185</v>
      </c>
      <c r="I94" s="9" t="s">
        <v>49</v>
      </c>
      <c r="J94" s="7" t="s">
        <v>50</v>
      </c>
      <c r="K94" s="7" t="s">
        <v>51</v>
      </c>
      <c r="L94" s="7" t="s">
        <v>53</v>
      </c>
      <c r="M94" s="7">
        <v>200</v>
      </c>
      <c r="O94" s="2">
        <v>1369499.0316022099</v>
      </c>
      <c r="P94" s="2"/>
      <c r="Q94" s="2">
        <v>1042125.5</v>
      </c>
      <c r="R94" s="2">
        <v>0</v>
      </c>
      <c r="S94" s="2">
        <v>0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4" s="2">
        <f>Tabla1[[#This Row],[Avance 20%]]+Tabla1[[#This Row],[Pago de Activos Fijos]]+Tabla1[[#This Row],[Total Cubicado]]</f>
        <v>0</v>
      </c>
      <c r="AJ94" s="7" t="s">
        <v>164</v>
      </c>
      <c r="AK94" s="10">
        <v>0.3</v>
      </c>
    </row>
    <row r="95" spans="2:37" x14ac:dyDescent="0.3">
      <c r="B95" s="7" t="s">
        <v>157</v>
      </c>
      <c r="C95" s="7">
        <v>2026</v>
      </c>
      <c r="D95" s="7" t="s">
        <v>78</v>
      </c>
      <c r="E95" s="7">
        <v>16879</v>
      </c>
      <c r="H95" s="7" t="s">
        <v>185</v>
      </c>
      <c r="I95" s="9" t="s">
        <v>49</v>
      </c>
      <c r="J95" s="7" t="s">
        <v>50</v>
      </c>
      <c r="K95" s="7" t="s">
        <v>51</v>
      </c>
      <c r="L95" s="7" t="s">
        <v>54</v>
      </c>
      <c r="M95" s="7">
        <v>225</v>
      </c>
      <c r="O95" s="2">
        <v>1283296.94</v>
      </c>
      <c r="P95" s="2"/>
      <c r="Q95" s="2">
        <v>970851.7</v>
      </c>
      <c r="R95" s="2">
        <v>0</v>
      </c>
      <c r="S95" s="2">
        <v>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5" s="2">
        <f>Tabla1[[#This Row],[Avance 20%]]+Tabla1[[#This Row],[Pago de Activos Fijos]]+Tabla1[[#This Row],[Total Cubicado]]</f>
        <v>0</v>
      </c>
      <c r="AJ95" s="7" t="s">
        <v>164</v>
      </c>
      <c r="AK95" s="10">
        <v>0.3</v>
      </c>
    </row>
    <row r="96" spans="2:37" x14ac:dyDescent="0.3">
      <c r="B96" s="7" t="s">
        <v>157</v>
      </c>
      <c r="C96" s="7">
        <v>2026</v>
      </c>
      <c r="D96" s="7" t="s">
        <v>78</v>
      </c>
      <c r="E96" s="7">
        <v>16879</v>
      </c>
      <c r="H96" s="7" t="s">
        <v>185</v>
      </c>
      <c r="I96" s="9" t="s">
        <v>49</v>
      </c>
      <c r="J96" s="7" t="s">
        <v>50</v>
      </c>
      <c r="K96" s="7" t="s">
        <v>51</v>
      </c>
      <c r="L96" s="7" t="s">
        <v>55</v>
      </c>
      <c r="M96" s="7">
        <v>800</v>
      </c>
      <c r="O96" s="2">
        <v>3364579.1399999997</v>
      </c>
      <c r="P96" s="2"/>
      <c r="Q96" s="2">
        <v>3268564.92</v>
      </c>
      <c r="R96" s="2">
        <v>0</v>
      </c>
      <c r="S96" s="2">
        <v>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6" s="2">
        <f>Tabla1[[#This Row],[Avance 20%]]+Tabla1[[#This Row],[Pago de Activos Fijos]]+Tabla1[[#This Row],[Total Cubicado]]</f>
        <v>0</v>
      </c>
      <c r="AJ96" s="7" t="s">
        <v>164</v>
      </c>
      <c r="AK96" s="10">
        <v>0.3</v>
      </c>
    </row>
    <row r="97" spans="1:37" x14ac:dyDescent="0.3">
      <c r="B97" s="7" t="s">
        <v>157</v>
      </c>
      <c r="C97" s="7">
        <v>2026</v>
      </c>
      <c r="D97" s="7" t="s">
        <v>78</v>
      </c>
      <c r="E97" s="7">
        <v>16879</v>
      </c>
      <c r="H97" s="7" t="s">
        <v>185</v>
      </c>
      <c r="I97" s="9" t="s">
        <v>49</v>
      </c>
      <c r="J97" s="7" t="s">
        <v>50</v>
      </c>
      <c r="K97" s="7" t="s">
        <v>56</v>
      </c>
      <c r="L97" s="7" t="s">
        <v>57</v>
      </c>
      <c r="M97" s="7">
        <v>200</v>
      </c>
      <c r="O97" s="2">
        <v>1900495.7</v>
      </c>
      <c r="P97" s="2"/>
      <c r="Q97" s="2">
        <v>1462416.01</v>
      </c>
      <c r="R97" s="2">
        <v>0</v>
      </c>
      <c r="S97" s="2">
        <v>0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7" s="2">
        <f>Tabla1[[#This Row],[Avance 20%]]+Tabla1[[#This Row],[Pago de Activos Fijos]]+Tabla1[[#This Row],[Total Cubicado]]</f>
        <v>0</v>
      </c>
      <c r="AJ97" s="7" t="s">
        <v>164</v>
      </c>
      <c r="AK97" s="10">
        <v>0.3</v>
      </c>
    </row>
    <row r="98" spans="1:37" x14ac:dyDescent="0.3">
      <c r="B98" s="7" t="s">
        <v>157</v>
      </c>
      <c r="C98" s="7">
        <v>2026</v>
      </c>
      <c r="D98" s="7" t="s">
        <v>78</v>
      </c>
      <c r="E98" s="7">
        <v>16879</v>
      </c>
      <c r="H98" s="7" t="s">
        <v>185</v>
      </c>
      <c r="I98" s="9" t="s">
        <v>49</v>
      </c>
      <c r="J98" s="7" t="s">
        <v>50</v>
      </c>
      <c r="K98" s="7" t="s">
        <v>56</v>
      </c>
      <c r="L98" s="7" t="s">
        <v>58</v>
      </c>
      <c r="M98" s="7">
        <v>400</v>
      </c>
      <c r="O98" s="2">
        <v>3038240.0599999996</v>
      </c>
      <c r="P98" s="2"/>
      <c r="Q98" s="2">
        <v>2808124.01</v>
      </c>
      <c r="R98" s="2">
        <v>0</v>
      </c>
      <c r="S98" s="2">
        <v>0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8" s="2">
        <f>Tabla1[[#This Row],[Avance 20%]]+Tabla1[[#This Row],[Pago de Activos Fijos]]+Tabla1[[#This Row],[Total Cubicado]]</f>
        <v>0</v>
      </c>
      <c r="AJ98" s="7" t="s">
        <v>164</v>
      </c>
      <c r="AK98" s="10">
        <v>0.3</v>
      </c>
    </row>
    <row r="99" spans="1:37" x14ac:dyDescent="0.3">
      <c r="A99" s="7" t="s">
        <v>23</v>
      </c>
      <c r="D99" s="7" t="s">
        <v>41</v>
      </c>
      <c r="E99" s="7">
        <v>16844</v>
      </c>
      <c r="H99" s="7" t="s">
        <v>184</v>
      </c>
      <c r="I99" s="7" t="s">
        <v>39</v>
      </c>
      <c r="J99" s="7" t="s">
        <v>10</v>
      </c>
      <c r="O99" s="8">
        <v>4960000</v>
      </c>
      <c r="P99" s="8">
        <v>4960000</v>
      </c>
      <c r="Q99" s="2">
        <v>0</v>
      </c>
      <c r="R99" s="2">
        <v>0</v>
      </c>
      <c r="S99" s="2">
        <v>0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99" s="2">
        <f>Tabla1[[#This Row],[Avance 20%]]+Tabla1[[#This Row],[Pago de Activos Fijos]]+Tabla1[[#This Row],[Total Cubicado]]</f>
        <v>0</v>
      </c>
      <c r="AJ99" s="7" t="s">
        <v>158</v>
      </c>
      <c r="AK99" s="10">
        <v>0.3</v>
      </c>
    </row>
    <row r="100" spans="1:37" x14ac:dyDescent="0.3">
      <c r="A100" s="7" t="s">
        <v>31</v>
      </c>
      <c r="D100" s="7" t="s">
        <v>41</v>
      </c>
      <c r="E100" s="7">
        <v>16340</v>
      </c>
      <c r="H100" s="7" t="s">
        <v>184</v>
      </c>
      <c r="I100" s="7" t="s">
        <v>32</v>
      </c>
      <c r="J100" s="7" t="s">
        <v>10</v>
      </c>
      <c r="O100" s="8">
        <v>68436.62</v>
      </c>
      <c r="P100" s="8"/>
      <c r="Q100" s="2">
        <v>0</v>
      </c>
      <c r="R100" s="2">
        <v>0</v>
      </c>
      <c r="S100" s="2"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0" s="2">
        <f>Tabla1[[#This Row],[Avance 20%]]+Tabla1[[#This Row],[Pago de Activos Fijos]]+Tabla1[[#This Row],[Total Cubicado]]</f>
        <v>0</v>
      </c>
      <c r="AJ100" s="7" t="s">
        <v>165</v>
      </c>
      <c r="AK100" s="10">
        <v>0.3</v>
      </c>
    </row>
    <row r="101" spans="1:37" x14ac:dyDescent="0.3">
      <c r="A101" s="7" t="s">
        <v>24</v>
      </c>
      <c r="D101" s="7" t="s">
        <v>41</v>
      </c>
      <c r="E101" s="7">
        <v>16340</v>
      </c>
      <c r="H101" s="7" t="s">
        <v>184</v>
      </c>
      <c r="I101" s="7" t="s">
        <v>25</v>
      </c>
      <c r="J101" s="7" t="s">
        <v>10</v>
      </c>
      <c r="O101" s="8">
        <v>46802.720000000001</v>
      </c>
      <c r="P101" s="8"/>
      <c r="Q101" s="2">
        <v>0</v>
      </c>
      <c r="R101" s="2">
        <v>0</v>
      </c>
      <c r="S101" s="2">
        <v>0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1" s="2">
        <f>Tabla1[[#This Row],[Avance 20%]]+Tabla1[[#This Row],[Pago de Activos Fijos]]+Tabla1[[#This Row],[Total Cubicado]]</f>
        <v>0</v>
      </c>
      <c r="AJ101" s="7" t="s">
        <v>165</v>
      </c>
      <c r="AK101" s="10">
        <v>0.3</v>
      </c>
    </row>
    <row r="102" spans="1:37" x14ac:dyDescent="0.3">
      <c r="A102" s="7" t="s">
        <v>28</v>
      </c>
      <c r="D102" s="7" t="s">
        <v>41</v>
      </c>
      <c r="E102" s="7">
        <v>16844</v>
      </c>
      <c r="H102" s="7" t="s">
        <v>184</v>
      </c>
      <c r="I102" s="7" t="s">
        <v>40</v>
      </c>
      <c r="J102" s="7" t="s">
        <v>10</v>
      </c>
      <c r="O102" s="8">
        <v>10719840</v>
      </c>
      <c r="P102" s="8">
        <v>10719840</v>
      </c>
      <c r="Q102" s="2">
        <v>0</v>
      </c>
      <c r="R102" s="2">
        <v>0</v>
      </c>
      <c r="S102" s="2">
        <v>0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2" s="2">
        <f>Tabla1[[#This Row],[Avance 20%]]+Tabla1[[#This Row],[Pago de Activos Fijos]]+Tabla1[[#This Row],[Total Cubicado]]</f>
        <v>0</v>
      </c>
      <c r="AJ102" s="7" t="s">
        <v>158</v>
      </c>
      <c r="AK102" s="10">
        <v>0.3</v>
      </c>
    </row>
    <row r="103" spans="1:37" x14ac:dyDescent="0.3">
      <c r="A103" s="7" t="s">
        <v>26</v>
      </c>
      <c r="D103" s="7" t="s">
        <v>41</v>
      </c>
      <c r="E103" s="7">
        <v>16340</v>
      </c>
      <c r="H103" s="7" t="s">
        <v>184</v>
      </c>
      <c r="I103" s="7" t="s">
        <v>27</v>
      </c>
      <c r="J103" s="7" t="s">
        <v>10</v>
      </c>
      <c r="O103" s="8">
        <v>130383.45</v>
      </c>
      <c r="P103" s="8"/>
      <c r="Q103" s="2">
        <v>0</v>
      </c>
      <c r="R103" s="2">
        <v>0</v>
      </c>
      <c r="S103" s="2">
        <v>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3" s="2">
        <f>Tabla1[[#This Row],[Avance 20%]]+Tabla1[[#This Row],[Pago de Activos Fijos]]+Tabla1[[#This Row],[Total Cubicado]]</f>
        <v>0</v>
      </c>
      <c r="AJ103" s="7" t="s">
        <v>165</v>
      </c>
      <c r="AK103" s="10">
        <v>0.3</v>
      </c>
    </row>
    <row r="104" spans="1:37" x14ac:dyDescent="0.3">
      <c r="A104" s="7" t="s">
        <v>15</v>
      </c>
      <c r="D104" s="7" t="s">
        <v>41</v>
      </c>
      <c r="E104" s="7">
        <v>16340</v>
      </c>
      <c r="H104" s="7" t="s">
        <v>184</v>
      </c>
      <c r="I104" s="7" t="s">
        <v>16</v>
      </c>
      <c r="J104" s="7" t="s">
        <v>10</v>
      </c>
      <c r="O104" s="8">
        <v>2200000</v>
      </c>
      <c r="P104" s="8"/>
      <c r="Q104" s="2">
        <v>558675</v>
      </c>
      <c r="R104" s="2">
        <v>0</v>
      </c>
      <c r="S104" s="8">
        <v>558675</v>
      </c>
      <c r="T104" s="8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4" s="2">
        <f>Tabla1[[#This Row],[Avance 20%]]+Tabla1[[#This Row],[Pago de Activos Fijos]]+Tabla1[[#This Row],[Total Cubicado]]</f>
        <v>558675</v>
      </c>
      <c r="AJ104" s="7" t="s">
        <v>165</v>
      </c>
      <c r="AK104" s="10">
        <v>0.3</v>
      </c>
    </row>
    <row r="105" spans="1:37" x14ac:dyDescent="0.3">
      <c r="A105" s="7" t="s">
        <v>17</v>
      </c>
      <c r="D105" s="7" t="s">
        <v>41</v>
      </c>
      <c r="E105" s="7">
        <v>16340</v>
      </c>
      <c r="H105" s="7" t="s">
        <v>184</v>
      </c>
      <c r="I105" s="7" t="s">
        <v>18</v>
      </c>
      <c r="J105" s="7" t="s">
        <v>10</v>
      </c>
      <c r="O105" s="8">
        <v>150000</v>
      </c>
      <c r="P105" s="8"/>
      <c r="Q105" s="2">
        <v>0</v>
      </c>
      <c r="R105" s="2">
        <v>0</v>
      </c>
      <c r="S105" s="8">
        <v>0</v>
      </c>
      <c r="T105" s="8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5" s="2">
        <f>Tabla1[[#This Row],[Avance 20%]]+Tabla1[[#This Row],[Pago de Activos Fijos]]+Tabla1[[#This Row],[Total Cubicado]]</f>
        <v>0</v>
      </c>
      <c r="AJ105" s="7" t="s">
        <v>165</v>
      </c>
      <c r="AK105" s="10">
        <v>0.3</v>
      </c>
    </row>
    <row r="106" spans="1:37" x14ac:dyDescent="0.3">
      <c r="A106" s="7" t="s">
        <v>13</v>
      </c>
      <c r="D106" s="7" t="s">
        <v>41</v>
      </c>
      <c r="E106" s="7">
        <v>16340</v>
      </c>
      <c r="H106" s="7" t="s">
        <v>184</v>
      </c>
      <c r="I106" s="7" t="s">
        <v>14</v>
      </c>
      <c r="J106" s="7" t="s">
        <v>10</v>
      </c>
      <c r="O106" s="8">
        <v>1650000</v>
      </c>
      <c r="P106" s="8"/>
      <c r="Q106" s="2">
        <v>0</v>
      </c>
      <c r="R106" s="2">
        <v>0</v>
      </c>
      <c r="S106" s="8">
        <v>0</v>
      </c>
      <c r="T106" s="8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6" s="2">
        <f>Tabla1[[#This Row],[Avance 20%]]+Tabla1[[#This Row],[Pago de Activos Fijos]]+Tabla1[[#This Row],[Total Cubicado]]</f>
        <v>0</v>
      </c>
      <c r="AJ106" s="7" t="s">
        <v>165</v>
      </c>
      <c r="AK106" s="10">
        <v>0.3</v>
      </c>
    </row>
    <row r="107" spans="1:37" x14ac:dyDescent="0.3">
      <c r="B107" s="7" t="s">
        <v>9</v>
      </c>
      <c r="C107" s="7">
        <v>2026</v>
      </c>
      <c r="D107" s="7" t="s">
        <v>170</v>
      </c>
      <c r="E107" s="7">
        <v>16844</v>
      </c>
      <c r="G107" s="7">
        <v>1</v>
      </c>
      <c r="H107" s="7" t="s">
        <v>185</v>
      </c>
      <c r="I107" s="7" t="s">
        <v>159</v>
      </c>
      <c r="J107" s="7" t="s">
        <v>10</v>
      </c>
      <c r="L107" s="7" t="s">
        <v>11</v>
      </c>
      <c r="O107" s="1">
        <v>9722987.5173045583</v>
      </c>
      <c r="P107" s="1">
        <v>9722987.5199999996</v>
      </c>
      <c r="Q107" s="2">
        <v>9289531.1199999992</v>
      </c>
      <c r="R107" s="2">
        <v>0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7" s="2">
        <f>Tabla1[[#This Row],[Avance 20%]]+Tabla1[[#This Row],[Pago de Activos Fijos]]+Tabla1[[#This Row],[Total Cubicado]]</f>
        <v>0</v>
      </c>
      <c r="AJ107" s="7" t="s">
        <v>158</v>
      </c>
      <c r="AK107" s="10">
        <v>0.3</v>
      </c>
    </row>
    <row r="108" spans="1:37" x14ac:dyDescent="0.3">
      <c r="A108" s="7" t="s">
        <v>35</v>
      </c>
      <c r="D108" s="7" t="s">
        <v>41</v>
      </c>
      <c r="E108" s="7">
        <v>16844</v>
      </c>
      <c r="H108" s="7" t="s">
        <v>184</v>
      </c>
      <c r="I108" s="7" t="s">
        <v>36</v>
      </c>
      <c r="J108" s="7" t="s">
        <v>10</v>
      </c>
      <c r="O108" s="8">
        <v>2600000</v>
      </c>
      <c r="P108" s="8"/>
      <c r="Q108" s="2">
        <v>0</v>
      </c>
      <c r="R108" s="2">
        <v>0</v>
      </c>
      <c r="S108" s="8">
        <v>0</v>
      </c>
      <c r="T108" s="8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8" s="2">
        <f>Tabla1[[#This Row],[Avance 20%]]+Tabla1[[#This Row],[Pago de Activos Fijos]]+Tabla1[[#This Row],[Total Cubicado]]</f>
        <v>0</v>
      </c>
      <c r="AJ108" s="7" t="s">
        <v>37</v>
      </c>
      <c r="AK108" s="10">
        <v>0.3</v>
      </c>
    </row>
    <row r="109" spans="1:37" x14ac:dyDescent="0.3">
      <c r="A109" s="7" t="s">
        <v>35</v>
      </c>
      <c r="D109" s="7" t="s">
        <v>41</v>
      </c>
      <c r="E109" s="7">
        <v>16879</v>
      </c>
      <c r="H109" s="7" t="s">
        <v>184</v>
      </c>
      <c r="I109" s="7" t="s">
        <v>36</v>
      </c>
      <c r="J109" s="7" t="s">
        <v>10</v>
      </c>
      <c r="O109" s="8">
        <v>6057110.2000000002</v>
      </c>
      <c r="P109" s="8"/>
      <c r="Q109" s="2">
        <v>0</v>
      </c>
      <c r="R109" s="2">
        <v>0</v>
      </c>
      <c r="S109" s="8">
        <v>0</v>
      </c>
      <c r="T109" s="8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09" s="2">
        <f>Tabla1[[#This Row],[Avance 20%]]+Tabla1[[#This Row],[Pago de Activos Fijos]]+Tabla1[[#This Row],[Total Cubicado]]</f>
        <v>0</v>
      </c>
      <c r="AJ109" s="7" t="s">
        <v>37</v>
      </c>
      <c r="AK109" s="10">
        <v>0.3</v>
      </c>
    </row>
    <row r="110" spans="1:37" x14ac:dyDescent="0.3">
      <c r="A110" s="7" t="s">
        <v>21</v>
      </c>
      <c r="B110" s="7" t="s">
        <v>43</v>
      </c>
      <c r="D110" s="7" t="s">
        <v>44</v>
      </c>
      <c r="E110" s="7">
        <v>16340</v>
      </c>
      <c r="H110" s="7" t="s">
        <v>184</v>
      </c>
      <c r="I110" s="7" t="s">
        <v>22</v>
      </c>
      <c r="J110" s="7" t="s">
        <v>10</v>
      </c>
      <c r="O110" s="8">
        <v>853900</v>
      </c>
      <c r="P110" s="8"/>
      <c r="Q110" s="2">
        <v>408703.07</v>
      </c>
      <c r="R110" s="2">
        <v>0</v>
      </c>
      <c r="S110" s="8">
        <v>0</v>
      </c>
      <c r="T110" s="8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>
        <f>Tabla1[[#This Row],[Cubicacion 1]]+Tabla1[[#This Row],[Cubicacion 2]]+Tabla1[[#This Row],[Cubicacion 3]]+Tabla1[[#This Row],[Cubicacion 4]]+Tabla1[[#This Row],[Cubicacion 5]]+Tabla1[[#This Row],[Cubicacion 6]]+Tabla1[[#This Row],[Cubicacion 7]]</f>
        <v>0</v>
      </c>
      <c r="AI110" s="2">
        <f>Tabla1[[#This Row],[Avance 20%]]+Tabla1[[#This Row],[Pago de Activos Fijos]]+Tabla1[[#This Row],[Total Cubicado]]</f>
        <v>0</v>
      </c>
      <c r="AJ110" s="7" t="s">
        <v>38</v>
      </c>
      <c r="AK110" s="10">
        <v>0.3</v>
      </c>
    </row>
    <row r="111" spans="1:37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2">
        <f>SUBTOTAL(109,Tabla1[Cantidad de habitantes (Población)])</f>
        <v>23834</v>
      </c>
      <c r="N111" s="12"/>
      <c r="O111" s="12">
        <f>SUBTOTAL(109,Tabla1[Monto Presupuestado])</f>
        <v>228492953.22718617</v>
      </c>
      <c r="P111" s="12">
        <f>SUBTOTAL(109,Tabla1[Monto en Apropiacion])</f>
        <v>25402827.52</v>
      </c>
      <c r="Q111" s="12">
        <f>SUBTOTAL(109,Tabla1[Monto Adjudicado])</f>
        <v>182645686.24400014</v>
      </c>
      <c r="R111" s="12">
        <f>SUBTOTAL(109,Tabla1[Avance 20%])</f>
        <v>16708919.789999999</v>
      </c>
      <c r="S111" s="12">
        <f>SUBTOTAL(109,Tabla1[Pago de Activos Fijos])</f>
        <v>847421</v>
      </c>
      <c r="T111" s="12"/>
      <c r="U111" s="12">
        <f>SUBTOTAL(109,Tabla1[Cubicacion 1])</f>
        <v>20056223.469999999</v>
      </c>
      <c r="V111" s="12"/>
      <c r="W111" s="12">
        <f>SUBTOTAL(109,Tabla1[Cubicacion 2])</f>
        <v>207017.96</v>
      </c>
      <c r="X111" s="12"/>
      <c r="Y111" s="12">
        <f>SUBTOTAL(109,Tabla1[Cubicacion 3])</f>
        <v>0</v>
      </c>
      <c r="Z111" s="12"/>
      <c r="AA111" s="12">
        <f>SUBTOTAL(109,Tabla1[Cubicacion 4])</f>
        <v>0</v>
      </c>
      <c r="AB111" s="12"/>
      <c r="AC111" s="12">
        <f>SUBTOTAL(109,Tabla1[Cubicacion 5])</f>
        <v>5599991.6299999999</v>
      </c>
      <c r="AD111" s="12"/>
      <c r="AE111" s="12">
        <f>SUBTOTAL(109,Tabla1[Cubicacion 6])</f>
        <v>0</v>
      </c>
      <c r="AF111" s="12"/>
      <c r="AG111" s="12">
        <f>SUBTOTAL(109,Tabla1[Cubicacion 7])</f>
        <v>0</v>
      </c>
      <c r="AH111" s="12">
        <f>SUBTOTAL(109,Tabla1[Total Cubicado])</f>
        <v>25863233.060000002</v>
      </c>
      <c r="AI111" s="12">
        <f>SUBTOTAL(109,Tabla1[TOTAL PAGADO])</f>
        <v>43419573.849999994</v>
      </c>
      <c r="AJ111" s="11"/>
      <c r="AK111" s="11"/>
    </row>
    <row r="113" spans="15:35" x14ac:dyDescent="0.3">
      <c r="O113" s="14"/>
      <c r="U113" s="13"/>
    </row>
    <row r="114" spans="15:35" x14ac:dyDescent="0.3">
      <c r="P114" s="13"/>
      <c r="R114" s="13"/>
      <c r="AH114" s="17"/>
      <c r="AI114" s="13"/>
    </row>
    <row r="115" spans="15:35" x14ac:dyDescent="0.3">
      <c r="Q115" s="14">
        <v>16708919.789999999</v>
      </c>
      <c r="W115" s="14">
        <v>5963282.3999999994</v>
      </c>
      <c r="AH115" s="13"/>
    </row>
    <row r="116" spans="15:35" x14ac:dyDescent="0.3">
      <c r="Q116" s="14">
        <v>4568603.07</v>
      </c>
      <c r="R116" s="13"/>
      <c r="W116" s="14">
        <v>124397.93</v>
      </c>
      <c r="AH116" s="13"/>
    </row>
    <row r="117" spans="15:35" x14ac:dyDescent="0.3">
      <c r="Q117" s="13">
        <f>SUM(Q115:Q116)</f>
        <v>21277522.859999999</v>
      </c>
      <c r="T117" s="7" t="s">
        <v>173</v>
      </c>
      <c r="W117" s="13">
        <f>SUM(W115:W116)</f>
        <v>6087680.3299999991</v>
      </c>
    </row>
    <row r="118" spans="15:35" x14ac:dyDescent="0.3">
      <c r="U118" s="14">
        <v>5393416.6099999994</v>
      </c>
    </row>
    <row r="119" spans="15:35" x14ac:dyDescent="0.3">
      <c r="U119" s="14">
        <v>207017.96</v>
      </c>
    </row>
    <row r="120" spans="15:35" x14ac:dyDescent="0.3">
      <c r="U120" s="20">
        <v>5599991.6299999999</v>
      </c>
    </row>
    <row r="121" spans="15:35" x14ac:dyDescent="0.3">
      <c r="U121" s="18">
        <f>SUM(U118:U120)</f>
        <v>11200426.199999999</v>
      </c>
      <c r="W121" s="14"/>
    </row>
    <row r="122" spans="15:35" x14ac:dyDescent="0.3">
      <c r="V122" s="13"/>
      <c r="W122" s="22"/>
    </row>
    <row r="123" spans="15:35" x14ac:dyDescent="0.3">
      <c r="T123" s="7" t="s">
        <v>8</v>
      </c>
    </row>
    <row r="124" spans="15:35" x14ac:dyDescent="0.3">
      <c r="U124" s="21">
        <v>25863233.060000002</v>
      </c>
      <c r="V124" s="22"/>
    </row>
    <row r="126" spans="15:35" x14ac:dyDescent="0.3">
      <c r="T126" s="7" t="s">
        <v>174</v>
      </c>
    </row>
    <row r="127" spans="15:35" x14ac:dyDescent="0.3">
      <c r="U127" s="18">
        <f>U124-U121</f>
        <v>14662806.860000003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2026-06-08T15:11:57Z</dcterms:created>
  <dcterms:modified xsi:type="dcterms:W3CDTF">2026-07-16T15:21:31Z</dcterms:modified>
</cp:coreProperties>
</file>